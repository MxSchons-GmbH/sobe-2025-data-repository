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Comparison" sheetId="2" r:id="rId5"/>
    <sheet state="visible" name="Shared Specifications" sheetId="3" r:id="rId6"/>
    <sheet state="visible" name="Specification Imaging Modalitie" sheetId="4" r:id="rId7"/>
    <sheet state="visible" name="Connectome with proofreading" sheetId="5" r:id="rId8"/>
    <sheet state="visible" name="Connectome without proofreading" sheetId="6" r:id="rId9"/>
  </sheets>
  <definedNames/>
  <calcPr/>
  <extLst>
    <ext uri="GoogleSheetsCustomDataVersion2">
      <go:sheetsCustomData xmlns:go="http://customooxmlschemas.google.com/" r:id="rId10" roundtripDataChecksum="i3lX/5N5HknfBgjaW9zmVygBXIyjX8IKbw9DZ8yuPy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
ID#AAABr8rJt38
Glenn Clayton    (2025-10-08 16:12:31)
@max@mxschons.com I think this is your cell that's throwing the #ref error</t>
      </text>
    </comment>
  </commentList>
  <extLst>
    <ext uri="GoogleSheetsCustomDataVersion2">
      <go:sheetsCustomData xmlns:go="http://customooxmlschemas.google.com/" r:id="rId1" roundtripDataSignature="AMtx7miJeZdZzbPJSz2ni7wLXCdWjTQqdA=="/>
    </ext>
  </extLst>
</comments>
</file>

<file path=xl/sharedStrings.xml><?xml version="1.0" encoding="utf-8"?>
<sst xmlns="http://schemas.openxmlformats.org/spreadsheetml/2006/main" count="1179" uniqueCount="357">
  <si>
    <t>Connectomics Budget Template — Quick guide</t>
  </si>
  <si>
    <r>
      <t xml:space="preserve">Explainer Loom </t>
    </r>
    <r>
      <rPr>
        <rFont val="Helvetica"/>
        <color rgb="FF1155CC"/>
        <sz val="9.0"/>
        <u/>
      </rPr>
      <t>here</t>
    </r>
    <r>
      <rPr>
        <rFont val="Helvetica"/>
        <color rgb="FF000000"/>
        <sz val="9.0"/>
      </rPr>
      <t>.</t>
    </r>
  </si>
  <si>
    <t>Cross-method comparison (Central values)</t>
  </si>
  <si>
    <t>With current proofreading</t>
  </si>
  <si>
    <t>With 1,000x improved proofreading</t>
  </si>
  <si>
    <t>Paradigm</t>
  </si>
  <si>
    <t>Electron Microscopy (Wellcome)
2023</t>
  </si>
  <si>
    <t>Electron Microscopy 
2025</t>
  </si>
  <si>
    <t>Expansion Microscopy 
2025</t>
  </si>
  <si>
    <t>Electron Microscopy
2025</t>
  </si>
  <si>
    <t>Cost per mm^3</t>
  </si>
  <si>
    <t>Total Capital</t>
  </si>
  <si>
    <t>Item</t>
  </si>
  <si>
    <t>Definition</t>
  </si>
  <si>
    <t>Units</t>
  </si>
  <si>
    <t>Sources and Comments</t>
  </si>
  <si>
    <t>Standardized Variables Proofreading Paradigm</t>
  </si>
  <si>
    <t>Shared General Specifications</t>
  </si>
  <si>
    <t>Specifications Organism &amp; Scope</t>
  </si>
  <si>
    <t>Quality target</t>
  </si>
  <si>
    <t>-</t>
  </si>
  <si>
    <t>Synaptic Resultion, staining only, no antibodies</t>
  </si>
  <si>
    <t>Organism / Region</t>
  </si>
  <si>
    <t>Complete Mousebrain</t>
  </si>
  <si>
    <t>Risk buffer policy first connectome</t>
  </si>
  <si>
    <t>Budget and schedule contingency fraction</t>
  </si>
  <si>
    <t>fraction</t>
  </si>
  <si>
    <t>Standard range of risk buffers</t>
  </si>
  <si>
    <t>Risk Buffer for marginal connectomes</t>
  </si>
  <si>
    <t>Volume (biological)</t>
  </si>
  <si>
    <t>Physical brain volume to be mapped</t>
  </si>
  <si>
    <t>mm^3</t>
  </si>
  <si>
    <t>Differently sized brains</t>
  </si>
  <si>
    <t>Number of neurons</t>
  </si>
  <si>
    <t>Number of neurons in the given volume</t>
  </si>
  <si>
    <t>count</t>
  </si>
  <si>
    <t>based on State of Brain Emulation report</t>
  </si>
  <si>
    <t>Specifications Counts</t>
  </si>
  <si>
    <t>Years until start</t>
  </si>
  <si>
    <t>Years from now when initial purchases are made</t>
  </si>
  <si>
    <t>years</t>
  </si>
  <si>
    <t>assumptions</t>
  </si>
  <si>
    <t>Planned Project duration (years)</t>
  </si>
  <si>
    <t>Time span for overall project</t>
  </si>
  <si>
    <t>Dollars available for Microscopes</t>
  </si>
  <si>
    <t>Upfront investment in microscopes</t>
  </si>
  <si>
    <t>$</t>
  </si>
  <si>
    <t>Max parallel GPUs available</t>
  </si>
  <si>
    <t>Number of GPUs dedicated during processing</t>
  </si>
  <si>
    <t>Facility per year</t>
  </si>
  <si>
    <t>Cleanroom, isolation, HVAC, racks across whole project lifespan</t>
  </si>
  <si>
    <t>Average Staff salary</t>
  </si>
  <si>
    <t>Average salary with all overheads across the project</t>
  </si>
  <si>
    <t>$/year</t>
  </si>
  <si>
    <t>Project management staff</t>
  </si>
  <si>
    <t>Staff members for management of project oversight</t>
  </si>
  <si>
    <t>FTE count</t>
  </si>
  <si>
    <t>Technical Staff beyond sample and microscope operations</t>
  </si>
  <si>
    <t>Sample prep and microscope operations are included in calculations already. This is staff beyond that</t>
  </si>
  <si>
    <t>Misc. Staff</t>
  </si>
  <si>
    <t>Operations, Assitants, PR, etc</t>
  </si>
  <si>
    <t>Other costs per connectome</t>
  </si>
  <si>
    <t>Shipping, permits, biosafety, IP, pubs</t>
  </si>
  <si>
    <t>$/project</t>
  </si>
  <si>
    <t>misc. costs</t>
  </si>
  <si>
    <t>Facility costs</t>
  </si>
  <si>
    <t>Costs of facility over whole project duration</t>
  </si>
  <si>
    <t>calculation</t>
  </si>
  <si>
    <t>Total capital base</t>
  </si>
  <si>
    <t>Scopes + facility + core SW + initial training</t>
  </si>
  <si>
    <t>Data science one off developments</t>
  </si>
  <si>
    <t>Pipelines, data mgmt, viewers, model training</t>
  </si>
  <si>
    <t>assumptions
Example: Liccon reported "Training ran up to 30 days on 32 NVIDIA V100 GPUs with about 8.8 million steps (batch size 128), and they also trained a semantic classifier on 16 V100s for ~38 h." which is probably 10k. Let's assume we need 10x that for different models</t>
  </si>
  <si>
    <t>Specifications Hardware</t>
  </si>
  <si>
    <t>Peak FLOPs/s for GPU</t>
  </si>
  <si>
    <t>Maximum FP 16 FLOP/s for GPU</t>
  </si>
  <si>
    <t>TFLOPs/s</t>
  </si>
  <si>
    <t>H100 FP 16 with 1,979 TFLOPs: https://www.nvidia.com/en-us/data-center/h100/
So far architectures in connectomics use FP32, but at scale FP16 seems more reasonable.</t>
  </si>
  <si>
    <t>Percentage continuous GPU usage</t>
  </si>
  <si>
    <t>Continuous GPU usage across time</t>
  </si>
  <si>
    <t>estimate</t>
  </si>
  <si>
    <t>$ / h for GPU usage</t>
  </si>
  <si>
    <t>Costs for access to 1h of GPU</t>
  </si>
  <si>
    <t>$ / hour</t>
  </si>
  <si>
    <t>at scale pricing for GPUs</t>
  </si>
  <si>
    <t>Cost drop compute per year</t>
  </si>
  <si>
    <t>assumption from past trends</t>
  </si>
  <si>
    <t>cost drop storage per year</t>
  </si>
  <si>
    <t>Active storage costs PB-month</t>
  </si>
  <si>
    <t>Storage system for working files</t>
  </si>
  <si>
    <t>$ / month</t>
  </si>
  <si>
    <t>Taking on-premise pricing
See https://aws.amazon.com/s3/pricing/ accessed 2025-09-04
Frequent Access Tier, First 50 TB / Month        $0.023 per GB
Frequent Access Tier, Next 450 TB / Month        $0.022 per GB
Frequent Access Tier, Over 500 TB / Month        $0.021 per GB
Infrequent Access Tier, All Storage / Month        $0.0125 per GB
Archive Instant Access Tier, All Storage / Month        $0.004 per GB
For on-prem assumption is that standard is 8x cheaper, archive 2x cheaper</t>
  </si>
  <si>
    <t>Archive storage costs PB-month</t>
  </si>
  <si>
    <t>Storage system for backup files</t>
  </si>
  <si>
    <t>see above</t>
  </si>
  <si>
    <t>Bytes per voxel</t>
  </si>
  <si>
    <t>Assuming 8-bits per voxel at 1 byte</t>
  </si>
  <si>
    <t>Lossless compression ratio</t>
  </si>
  <si>
    <t>Raw to lossless</t>
  </si>
  <si>
    <t>×</t>
  </si>
  <si>
    <t>as per Wellcome Trust Report; assumed to happen in parallel to image acquisition</t>
  </si>
  <si>
    <t>Lossy compression ratio</t>
  </si>
  <si>
    <t>Raw to lossy</t>
  </si>
  <si>
    <t>estimate; 120x compression demonstrated for EM; assumed to happen in parallel to image acquisition</t>
  </si>
  <si>
    <t>Structure Label overheads</t>
  </si>
  <si>
    <t>labels + meshes + skeletons + graphs + annotations overhead</t>
  </si>
  <si>
    <t>%</t>
  </si>
  <si>
    <t>estimate for image overlays for labels</t>
  </si>
  <si>
    <t>Replicas First (active)</t>
  </si>
  <si>
    <t>Hot copies lossless online of first connectome</t>
  </si>
  <si>
    <t>Replicas First (archive)</t>
  </si>
  <si>
    <t>Cold copies retained first connectome</t>
  </si>
  <si>
    <t>Replicas Marginal (active)</t>
  </si>
  <si>
    <t>Hot copies lossless online of marginal connectomes</t>
  </si>
  <si>
    <t>Replicas Marginal (archive)</t>
  </si>
  <si>
    <t>Cold copies retained of marginal connectomes</t>
  </si>
  <si>
    <t>Active retention (years)</t>
  </si>
  <si>
    <t>How long active copies are kept</t>
  </si>
  <si>
    <t>yr</t>
  </si>
  <si>
    <t>Archive retention (years)</t>
  </si>
  <si>
    <t>How long archive copies are kept</t>
  </si>
  <si>
    <t>Average FLOP/s GPU</t>
  </si>
  <si>
    <t>Average FLOPs/s for GPU</t>
  </si>
  <si>
    <t>Price / GPU hour</t>
  </si>
  <si>
    <t>Effective price at a given date in the future</t>
  </si>
  <si>
    <t>Active storage costs PB-year</t>
  </si>
  <si>
    <t>Online storage price</t>
  </si>
  <si>
    <t>$/PB-year</t>
  </si>
  <si>
    <t>Archive storage costs PB-year</t>
  </si>
  <si>
    <t>Archive storage price</t>
  </si>
  <si>
    <t>Processing image data</t>
  </si>
  <si>
    <t>FLOPs for Registration / Alignment per tile</t>
  </si>
  <si>
    <t>FP32-equivalent Floating point operations.</t>
  </si>
  <si>
    <t>TFLOP / tile</t>
  </si>
  <si>
    <t xml:space="preserve">
For MICrONS The alignment took 230 h on a cluster of preemptible NVIDIA T4 GPUs on Google Cloud. The cluster size fluctuated due to hardware availability constraints, with the number of active GPUs averaging at 1200. T4 has 8.1 TFLOPS FP32 peak, so 80% is ~6.5TFLOPS. With 276,000 GPU hours we are 6.5*60*60*276000 = 6.458.400.000 TFLOPs for 14,442,143 tiles with 20MP and 50MP. The total costs here are in the 100-250k ballpark. 
6.458.400.000 TFLOPs for 14,442,143 tiles is roughly 450 TFLOPs per tile</t>
  </si>
  <si>
    <t>Segmentation FLOP per voxel</t>
  </si>
  <si>
    <t>FP32-equivalent Floating point operations/voxel.</t>
  </si>
  <si>
    <t>TFLOP / voxel</t>
  </si>
  <si>
    <r>
      <rPr/>
      <t xml:space="preserve">We are assuming 2M FLOP / voxel with LSDs. based on 1/100 of FFN that are 2.42×108 FLOPs/voxel </t>
    </r>
    <r>
      <rPr>
        <color rgb="FF1155CC"/>
        <u/>
      </rPr>
      <t>https://www.nature.com/articles/s41592-022-01711-z</t>
    </r>
    <r>
      <rPr/>
      <t xml:space="preserve"> and https://static-content.springer.com/esm/art%3A10.1038%2Fs41592-018-0049-4/MediaObjects/41592_2018_49_MOESM1_ESM.pdf#page=11
</t>
    </r>
  </si>
  <si>
    <t>EM</t>
  </si>
  <si>
    <t>ExM</t>
  </si>
  <si>
    <t>ExM Molecular Annotation</t>
  </si>
  <si>
    <t>Wellcome EM Replication</t>
  </si>
  <si>
    <t>Definitions from</t>
  </si>
  <si>
    <t>https://www.nature.com/articles/s41467-024-50846-4</t>
  </si>
  <si>
    <t>https://pmc.ncbi.nlm.nih.gov/articles/PMC12157702/</t>
  </si>
  <si>
    <t>Microscope capital cost</t>
  </si>
  <si>
    <t>Acquisition price per scope</t>
  </si>
  <si>
    <t>$/scope</t>
  </si>
  <si>
    <t>Microscope depreciation horizon</t>
  </si>
  <si>
    <t>Straight-line depreciation years</t>
  </si>
  <si>
    <t>Sustained Imaging Rate</t>
  </si>
  <si>
    <t>Sustained Imaging rate at given resolution per Microscope, i.e. voxels/second/scope</t>
  </si>
  <si>
    <t>Mvox/s</t>
  </si>
  <si>
    <t>This seems to be quite similar to EMs out there, both in terms of bursts going into the GHz and continuous around 100s of MHz</t>
  </si>
  <si>
    <t>Parallel Channels per round</t>
  </si>
  <si>
    <t>simultaneous channel readouts (not sequential during one round)</t>
  </si>
  <si>
    <t>Just staining, no antibodies</t>
  </si>
  <si>
    <t>Total Channels</t>
  </si>
  <si>
    <t>Imaging channels per voxel</t>
  </si>
  <si>
    <t>Scope annual service</t>
  </si>
  <si>
    <t>Electricity, licenses, Maintenance or spares</t>
  </si>
  <si>
    <t>$/scope/year</t>
  </si>
  <si>
    <t>Salary Microscope technician</t>
  </si>
  <si>
    <t>Total Salary, incl benefits etc. for microscopist (incl. wetlab work)</t>
  </si>
  <si>
    <t>Microscope technician ratio</t>
  </si>
  <si>
    <t>Number of Microscopes maintained by one technician</t>
  </si>
  <si>
    <t>Microscope uptime</t>
  </si>
  <si>
    <t>Fraction of calendar time producing good data, incl Time lost to swaps/alignment beyond uptime</t>
  </si>
  <si>
    <t>I assume you can rotate samples in such a way that you keep uptime relatively high still?</t>
  </si>
  <si>
    <t>Reacquisition rate</t>
  </si>
  <si>
    <t>Expected fraction of volume to re-image</t>
  </si>
  <si>
    <t>for simplicity none. Buffer budget at the end accounts for errors</t>
  </si>
  <si>
    <t>Sample yield</t>
  </si>
  <si>
    <t>Fraction of samples that pass QC</t>
  </si>
  <si>
    <t>for simplicity full. Buffer at the end accounts for errors</t>
  </si>
  <si>
    <t>Expansion factor</t>
  </si>
  <si>
    <t>Linear expansion factor E; effective volume scales as E^3</t>
  </si>
  <si>
    <t>26.666 expands 400nm resolution to 15nm</t>
  </si>
  <si>
    <t>Consumables per original mm^3</t>
  </si>
  <si>
    <t>Sample prep, expanding, staining, ... per imaged tissue volume</t>
  </si>
  <si>
    <t>$/mm^3</t>
  </si>
  <si>
    <t>For EM paper states $4 Per grid tape film per slot. with about 25k slots per mm, we are at 100-200k at scale. Knives are neglidgible
 Estimate with 2$ per mm^3 original tissue based on LICONN supplement.</t>
  </si>
  <si>
    <t>Antibody costs per original mm^3</t>
  </si>
  <si>
    <t>2$ per mm^3 original tissue; estimate</t>
  </si>
  <si>
    <t>Human Labor costs per original mm^3</t>
  </si>
  <si>
    <t>120k salary, working 210d per year, one week of work per mm^3</t>
  </si>
  <si>
    <t>Initial Preparation days</t>
  </si>
  <si>
    <t>From tissue to ready-to-image</t>
  </si>
  <si>
    <t>days</t>
  </si>
  <si>
    <t>initial preparation of tissue</t>
  </si>
  <si>
    <t>Voxel size X</t>
  </si>
  <si>
    <t>Acquisition resolution X</t>
  </si>
  <si>
    <t>nm</t>
  </si>
  <si>
    <t>Voxel size Y</t>
  </si>
  <si>
    <t>Acquisition resolution Y</t>
  </si>
  <si>
    <t>Voxel size Z</t>
  </si>
  <si>
    <t>Acquisition resolution Z</t>
  </si>
  <si>
    <t>Sample depth</t>
  </si>
  <si>
    <t>Layers of Z in one sample, so no alignment necessary later</t>
  </si>
  <si>
    <t>a sample with 10,000 slices can be imaged at once. Unlike serial EM, ExM does not require cutting the tissue into thousands of thin sections. The sample remains intact (embedded in a hydrogel), and is typically imaged as a continuous volume (e.g. via a light-sheet Z-stack) rather than separate physical slices. This eliminates section-to-section alignment altogether. Distortions due to cutting or mounting are absent – the only geometric distortions might come from the expansion process, but these are mostly uniform isotropic stretching.</t>
  </si>
  <si>
    <t>Image size pixels x</t>
  </si>
  <si>
    <t>px</t>
  </si>
  <si>
    <t>from LICONN paper. Could go up to ExaSpim with 14,192 x 10,640 pixels</t>
  </si>
  <si>
    <t>Image size pixels y</t>
  </si>
  <si>
    <t>Tile overlap</t>
  </si>
  <si>
    <t>Connectome with Proofreading</t>
  </si>
  <si>
    <t>Shared Proofreading Specifications</t>
  </si>
  <si>
    <t>Human proofreading hours per neuron</t>
  </si>
  <si>
    <t>Human proofreading time per neuron</t>
  </si>
  <si>
    <t>hours</t>
  </si>
  <si>
    <t>Flywire reports on average 20min per neuron. From personal communication with MICrONS authors we know that bigger mouse neurons can be way more complex and go up to 40h / neuron</t>
  </si>
  <si>
    <t>Hourly rate of proof-reader</t>
  </si>
  <si>
    <t>Average Compensation for proofreading hour</t>
  </si>
  <si>
    <t>$/hour</t>
  </si>
  <si>
    <t>Outsourced salary in non-developped country</t>
  </si>
  <si>
    <t>Proofreading hours per day</t>
  </si>
  <si>
    <t>average hours a proofreader works per day</t>
  </si>
  <si>
    <t>hours / day</t>
  </si>
  <si>
    <t>assumption</t>
  </si>
  <si>
    <t>Number of proofreaders</t>
  </si>
  <si>
    <t xml:space="preserve">Number of people proofreading. </t>
  </si>
  <si>
    <t>backchaining from Wellcome estimate and Targeting 5years with people working 6h / day for 210 days per year for a mouse</t>
  </si>
  <si>
    <t>Unique Specifications Microscope</t>
  </si>
  <si>
    <t>Number of microscopes</t>
  </si>
  <si>
    <t>Scopes operating in parallel</t>
  </si>
  <si>
    <t>calculations</t>
  </si>
  <si>
    <t>Total Scope operating costs per year</t>
  </si>
  <si>
    <t>All costs considered</t>
  </si>
  <si>
    <t>Total microscope costs</t>
  </si>
  <si>
    <t>All costs over the lifetime of a microscope</t>
  </si>
  <si>
    <t>$/scope lifetime</t>
  </si>
  <si>
    <t>Net imaging rate</t>
  </si>
  <si>
    <t>considering multiple rounds and microscope uptime</t>
  </si>
  <si>
    <t>Imaging rate in mm^3/day/scope</t>
  </si>
  <si>
    <t>Volumetric rate at given resolution</t>
  </si>
  <si>
    <t>mm^3 exp/day/scope</t>
  </si>
  <si>
    <t>Total voxels per microscope lifetime</t>
  </si>
  <si>
    <t>voxel count / scope lifetime</t>
  </si>
  <si>
    <t>Voxel per $</t>
  </si>
  <si>
    <t>Voxels / $</t>
  </si>
  <si>
    <t>$ per mm^3 post expansion</t>
  </si>
  <si>
    <t>$ / mm^3 exp</t>
  </si>
  <si>
    <t>$ per original mm^3 (microscopes)</t>
  </si>
  <si>
    <t>$ / mm^3</t>
  </si>
  <si>
    <t>Unique Specifications Sample</t>
  </si>
  <si>
    <t>Comparable expansion to achieve Wellcome equivalent resolution</t>
  </si>
  <si>
    <t>Estimate with 2$ per mm^3 original tissue based on LICONN supplement</t>
  </si>
  <si>
    <t>Lateral overlap used for stitching</t>
  </si>
  <si>
    <t>Effective X</t>
  </si>
  <si>
    <t>Effective Y</t>
  </si>
  <si>
    <t>Effective Z</t>
  </si>
  <si>
    <t>Field of view (x)</t>
  </si>
  <si>
    <t>Single-tile FOV (informational)</t>
  </si>
  <si>
    <t>µm</t>
  </si>
  <si>
    <t>Field of view (y)</t>
  </si>
  <si>
    <t>Field of view (z)</t>
  </si>
  <si>
    <t>Original to effective factor</t>
  </si>
  <si>
    <t>x</t>
  </si>
  <si>
    <t>Effective imaging volume</t>
  </si>
  <si>
    <t>E^3 * volume * (1 + reacq_rate)</t>
  </si>
  <si>
    <t>mm^3 exp</t>
  </si>
  <si>
    <t>Total voxels per mm^3 post expansion</t>
  </si>
  <si>
    <t>vox/mm^3 exp</t>
  </si>
  <si>
    <t>Petavoxels per mm^3 post expansion</t>
  </si>
  <si>
    <t>PV/mm^3 exp</t>
  </si>
  <si>
    <t>Petavoxels imaged</t>
  </si>
  <si>
    <t>PV/mm^3 × effective volume</t>
  </si>
  <si>
    <t>PV</t>
  </si>
  <si>
    <t>Total number of tiles</t>
  </si>
  <si>
    <t>Tiles per Petavoxel</t>
  </si>
  <si>
    <t>Total non-microscope costs per original mm^3</t>
  </si>
  <si>
    <t>Extrapolations</t>
  </si>
  <si>
    <t>Storage Projections</t>
  </si>
  <si>
    <t>Raw bytes per mm^3</t>
  </si>
  <si>
    <t>voxels * bits/8 * channels</t>
  </si>
  <si>
    <t>bytes/mm^3</t>
  </si>
  <si>
    <t>only storing one structure map, the rest is covered by points and labels in the structure label overheads below. Given how rare molecular points are in the vast sea of voxels their contribution should be way below 1%</t>
  </si>
  <si>
    <t>Uncompressed Petabytes per mm^3</t>
  </si>
  <si>
    <t>Petabytes/mm^3</t>
  </si>
  <si>
    <t>Data size (raw)</t>
  </si>
  <si>
    <t>For effective volume, uncompressed</t>
  </si>
  <si>
    <t>PB/total volume</t>
  </si>
  <si>
    <t>Data size (active, lossy)</t>
  </si>
  <si>
    <t>raw_size/lossy + labels</t>
  </si>
  <si>
    <t>Data size (archive, lossless)</t>
  </si>
  <si>
    <t>raw_size/lossless + labels</t>
  </si>
  <si>
    <t>Image Processing projectsions</t>
  </si>
  <si>
    <t>Processing rate registration</t>
  </si>
  <si>
    <t>registration</t>
  </si>
  <si>
    <t>PV/day/GPU</t>
  </si>
  <si>
    <t>Processing rate segmentation</t>
  </si>
  <si>
    <t>segmentation</t>
  </si>
  <si>
    <t>Registration per petavoxel</t>
  </si>
  <si>
    <t>Computeper 10^15 voxels</t>
  </si>
  <si>
    <t>$/PV</t>
  </si>
  <si>
    <t>Segmentation per petavoxel</t>
  </si>
  <si>
    <t>Inference per 10^15 voxels</t>
  </si>
  <si>
    <t>Proofreading per petavoxel</t>
  </si>
  <si>
    <t>Manual curation per 10^15 voxels</t>
  </si>
  <si>
    <t>Timeline Projections</t>
  </si>
  <si>
    <t>Imaging days</t>
  </si>
  <si>
    <t>eff_vol / (eff_img_rate*num_scopes) + initialpreparation days</t>
  </si>
  <si>
    <t>Processing days (registration)</t>
  </si>
  <si>
    <t>Processing days (segmentation)</t>
  </si>
  <si>
    <t>Processing days (total)</t>
  </si>
  <si>
    <t>eff_vol / (proc_rate*gpus)</t>
  </si>
  <si>
    <t>Proofreading days</t>
  </si>
  <si>
    <t>Time to first connectome</t>
  </si>
  <si>
    <t>prep + imaging + processing + proofreading</t>
  </si>
  <si>
    <t>Time to marginal connectome</t>
  </si>
  <si>
    <t>assuming parallel usage of the equipment, days until the next connectome is available</t>
  </si>
  <si>
    <t>Variable Costs per Project / whole volume Projections</t>
  </si>
  <si>
    <t>Imaging (Consumables)</t>
  </si>
  <si>
    <t>Imaging (Scanning)</t>
  </si>
  <si>
    <t>Imaging (Total)</t>
  </si>
  <si>
    <t>Storage First connectome (active)</t>
  </si>
  <si>
    <t>Active PB × $/PB-yr × years</t>
  </si>
  <si>
    <t>Storage First connectome (archive)</t>
  </si>
  <si>
    <t>Archive PB × $/PB-yr × years</t>
  </si>
  <si>
    <t>Storage First connectome (total)</t>
  </si>
  <si>
    <t>Storage Marginal connectome (active)</t>
  </si>
  <si>
    <t>Storage Marginal connectome (archive)</t>
  </si>
  <si>
    <t>Storage Marginal connectome (total)</t>
  </si>
  <si>
    <t>Processing (Registration)</t>
  </si>
  <si>
    <t>PV × $/PV</t>
  </si>
  <si>
    <t>Processing (Segmentation)</t>
  </si>
  <si>
    <t>Processing (total)</t>
  </si>
  <si>
    <t>Proofreading labor</t>
  </si>
  <si>
    <t>Personnel costs</t>
  </si>
  <si>
    <t>Variable subtotal before buffer</t>
  </si>
  <si>
    <t>Sum of variable costs</t>
  </si>
  <si>
    <t>Summary</t>
  </si>
  <si>
    <t>Total duration</t>
  </si>
  <si>
    <t>Total connectomes</t>
  </si>
  <si>
    <t>Total average budget</t>
  </si>
  <si>
    <t>Timelines</t>
  </si>
  <si>
    <t>Imaging years</t>
  </si>
  <si>
    <t>Processing years</t>
  </si>
  <si>
    <t>Proofreading years</t>
  </si>
  <si>
    <t>Buffer years</t>
  </si>
  <si>
    <t>Total years First connectome</t>
  </si>
  <si>
    <t>Time to marginal</t>
  </si>
  <si>
    <t>Average Connectome</t>
  </si>
  <si>
    <t>Imaging $</t>
  </si>
  <si>
    <t>Storage $</t>
  </si>
  <si>
    <t>Processing $</t>
  </si>
  <si>
    <t>Proofreading $</t>
  </si>
  <si>
    <t>Personnel $</t>
  </si>
  <si>
    <t>Buffer $</t>
  </si>
  <si>
    <t>Total $</t>
  </si>
  <si>
    <t>Cost per neuron</t>
  </si>
  <si>
    <t>$ / Neuron</t>
  </si>
  <si>
    <t>First Connectome</t>
  </si>
  <si>
    <t>Cost per Neuron</t>
  </si>
  <si>
    <t>Marginal Connectome</t>
  </si>
  <si>
    <t>eff_vol / (eff_img_rate*num_scopes)</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</si>
</sst>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0.0,, &quot;M&quot;"/>
    <numFmt numFmtId="165" formatCode="#,##0.0000"/>
    <numFmt numFmtId="166" formatCode="&quot;$&quot;#,##0.00"/>
    <numFmt numFmtId="167" formatCode="0 &quot;yrs&quot;"/>
    <numFmt numFmtId="168" formatCode="0.0 &quot;yrs&quot;"/>
    <numFmt numFmtId="169" formatCode="&quot;$&quot;#,##0"/>
    <numFmt numFmtId="170" formatCode="0.000"/>
    <numFmt numFmtId="171" formatCode="#,##0.0"/>
    <numFmt numFmtId="172" formatCode="0.0"/>
    <numFmt numFmtId="173" formatCode="0.0000000"/>
    <numFmt numFmtId="174" formatCode="0.000000"/>
    <numFmt numFmtId="175" formatCode="0.0000"/>
  </numFmts>
  <fonts count="11">
    <font>
      <sz val="11.0"/>
      <color theme="1"/>
      <name val="Calibri"/>
      <scheme val="minor"/>
    </font>
    <font>
      <b/>
      <sz val="14.0"/>
      <color theme="1"/>
      <name val="Calibri"/>
      <scheme val="minor"/>
    </font>
    <font>
      <u/>
      <sz val="9.0"/>
      <color rgb="FF000000"/>
      <name val="Helvetica"/>
    </font>
    <font>
      <color theme="1"/>
      <name val="Calibri"/>
      <scheme val="minor"/>
    </font>
    <font>
      <b/>
      <color theme="1"/>
      <name val="Calibri"/>
      <scheme val="minor"/>
    </font>
    <font>
      <u/>
      <color rgb="FF0000FF"/>
    </font>
    <font>
      <u/>
      <color rgb="FF0000FF"/>
    </font>
    <font>
      <color rgb="FFCCCCCC"/>
      <name val="Calibri"/>
      <scheme val="minor"/>
    </font>
    <font>
      <u/>
      <color rgb="FF0000FF"/>
    </font>
    <font>
      <b/>
      <sz val="11.0"/>
      <color theme="1"/>
      <name val="Calibri"/>
    </font>
    <font>
      <sz val="11.0"/>
      <color theme="1"/>
      <name val="Calibri"/>
    </font>
  </fonts>
  <fills count="5">
    <fill>
      <patternFill patternType="none"/>
    </fill>
    <fill>
      <patternFill patternType="lightGray"/>
    </fill>
    <fill>
      <patternFill patternType="solid">
        <fgColor rgb="FFDCE6F1"/>
        <bgColor rgb="FFDCE6F1"/>
      </patternFill>
    </fill>
    <fill>
      <patternFill patternType="solid">
        <fgColor rgb="FFEFEFEF"/>
        <bgColor rgb="FFEFEFEF"/>
      </patternFill>
    </fill>
    <fill>
      <patternFill patternType="solid">
        <fgColor rgb="FFF2F2F2"/>
        <bgColor rgb="FFF2F2F2"/>
      </patternFill>
    </fill>
  </fills>
  <borders count="2">
    <border/>
    <border>
      <left/>
      <right/>
      <top/>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3" numFmtId="0" xfId="0" applyAlignment="1" applyFont="1">
      <alignment horizontal="center" readingOrder="0"/>
    </xf>
    <xf borderId="0" fillId="0" fontId="3" numFmtId="164" xfId="0" applyAlignment="1" applyFont="1" applyNumberFormat="1">
      <alignment horizontal="center" readingOrder="0"/>
    </xf>
    <xf borderId="0" fillId="0" fontId="3" numFmtId="0" xfId="0" applyFont="1"/>
    <xf borderId="0" fillId="0" fontId="3" numFmtId="165" xfId="0" applyAlignment="1" applyFont="1" applyNumberFormat="1">
      <alignment horizontal="center" readingOrder="0"/>
    </xf>
    <xf borderId="0" fillId="0" fontId="3" numFmtId="166" xfId="0" applyAlignment="1" applyFont="1" applyNumberFormat="1">
      <alignment horizontal="center" readingOrder="0"/>
    </xf>
    <xf borderId="0" fillId="0" fontId="3" numFmtId="4" xfId="0" applyAlignment="1" applyFont="1" applyNumberFormat="1">
      <alignment horizontal="center" readingOrder="0"/>
    </xf>
    <xf borderId="0" fillId="0" fontId="3" numFmtId="3" xfId="0" applyAlignment="1" applyFont="1" applyNumberFormat="1">
      <alignment horizontal="center" readingOrder="0"/>
    </xf>
    <xf borderId="0" fillId="0" fontId="4" numFmtId="0" xfId="0" applyAlignment="1" applyFont="1">
      <alignment horizontal="center" readingOrder="0"/>
    </xf>
    <xf borderId="0" fillId="0" fontId="4" numFmtId="164" xfId="0" applyAlignment="1" applyFont="1" applyNumberFormat="1">
      <alignment horizontal="center" readingOrder="0"/>
    </xf>
    <xf borderId="0" fillId="2" fontId="4" numFmtId="0" xfId="0" applyAlignment="1" applyFill="1" applyFont="1">
      <alignment horizontal="center" readingOrder="0" vertical="center"/>
    </xf>
    <xf borderId="1" fillId="2" fontId="4" numFmtId="0" xfId="0" applyAlignment="1" applyBorder="1" applyFont="1">
      <alignment horizontal="center" readingOrder="0" shrinkToFit="0" wrapText="1"/>
    </xf>
    <xf borderId="0" fillId="0" fontId="3" numFmtId="167" xfId="0" applyFont="1" applyNumberFormat="1"/>
    <xf borderId="0" fillId="3" fontId="4" numFmtId="0" xfId="0" applyFill="1" applyFont="1"/>
    <xf borderId="0" fillId="0" fontId="3" numFmtId="168" xfId="0" applyFont="1" applyNumberFormat="1"/>
    <xf borderId="0" fillId="0" fontId="3" numFmtId="164" xfId="0" applyFont="1" applyNumberFormat="1"/>
    <xf borderId="0" fillId="0" fontId="3" numFmtId="166" xfId="0" applyFont="1" applyNumberFormat="1"/>
    <xf borderId="0" fillId="0" fontId="4" numFmtId="0" xfId="0" applyFont="1"/>
    <xf borderId="0" fillId="0" fontId="3" numFmtId="169" xfId="0" applyFont="1" applyNumberFormat="1"/>
    <xf borderId="0" fillId="0" fontId="3" numFmtId="169" xfId="0" applyFont="1" applyNumberFormat="1"/>
    <xf borderId="0" fillId="0" fontId="3" numFmtId="0" xfId="0" applyAlignment="1" applyFont="1">
      <alignment readingOrder="0"/>
    </xf>
    <xf borderId="0" fillId="0" fontId="3" numFmtId="166" xfId="0" applyFont="1" applyNumberFormat="1"/>
    <xf borderId="1" fillId="2" fontId="4" numFmtId="0" xfId="0" applyAlignment="1" applyBorder="1" applyFont="1">
      <alignment horizontal="center"/>
    </xf>
    <xf borderId="1" fillId="2" fontId="4" numFmtId="0" xfId="0" applyAlignment="1" applyBorder="1" applyFont="1">
      <alignment horizontal="center" shrinkToFit="0" wrapText="1"/>
    </xf>
    <xf borderId="1" fillId="2" fontId="4" numFmtId="0" xfId="0" applyAlignment="1" applyBorder="1" applyFont="1">
      <alignment horizontal="center" readingOrder="0"/>
    </xf>
    <xf borderId="1" fillId="4" fontId="4" numFmtId="0" xfId="0" applyAlignment="1" applyBorder="1" applyFill="1" applyFont="1">
      <alignment readingOrder="0"/>
    </xf>
    <xf borderId="0" fillId="0" fontId="3" numFmtId="0" xfId="0" applyAlignment="1" applyFont="1">
      <alignment shrinkToFit="0" wrapText="1"/>
    </xf>
    <xf borderId="0" fillId="0" fontId="3" numFmtId="0" xfId="0" applyAlignment="1" applyFont="1">
      <alignment readingOrder="0" shrinkToFit="0" wrapText="1"/>
    </xf>
    <xf borderId="0" fillId="0" fontId="3" numFmtId="10" xfId="0" applyAlignment="1" applyFont="1" applyNumberFormat="1">
      <alignment readingOrder="0"/>
    </xf>
    <xf borderId="0" fillId="0" fontId="3" numFmtId="170" xfId="0" applyAlignment="1" applyFont="1" applyNumberFormat="1">
      <alignment readingOrder="0" shrinkToFit="0" wrapText="1"/>
    </xf>
    <xf borderId="0" fillId="0" fontId="3" numFmtId="1" xfId="0" applyAlignment="1" applyFont="1" applyNumberFormat="1">
      <alignment readingOrder="0"/>
    </xf>
    <xf borderId="0" fillId="0" fontId="3" numFmtId="3" xfId="0" applyAlignment="1" applyFont="1" applyNumberFormat="1">
      <alignment readingOrder="0"/>
    </xf>
    <xf borderId="0" fillId="0" fontId="3" numFmtId="1" xfId="0" applyAlignment="1" applyFont="1" applyNumberFormat="1">
      <alignment shrinkToFit="0" wrapText="1"/>
    </xf>
    <xf borderId="0" fillId="0" fontId="3" numFmtId="169" xfId="0" applyAlignment="1" applyFont="1" applyNumberFormat="1">
      <alignment readingOrder="0" shrinkToFit="0" wrapText="1"/>
    </xf>
    <xf borderId="0" fillId="0" fontId="3" numFmtId="169" xfId="0" applyAlignment="1" applyFont="1" applyNumberFormat="1">
      <alignment readingOrder="0"/>
    </xf>
    <xf borderId="0" fillId="0" fontId="3" numFmtId="169" xfId="0" applyAlignment="1" applyFont="1" applyNumberFormat="1">
      <alignment readingOrder="0"/>
    </xf>
    <xf borderId="0" fillId="0" fontId="3" numFmtId="171" xfId="0" applyAlignment="1" applyFont="1" applyNumberFormat="1">
      <alignment readingOrder="0"/>
    </xf>
    <xf borderId="0" fillId="0" fontId="3" numFmtId="169" xfId="0" applyAlignment="1" applyFont="1" applyNumberFormat="1">
      <alignment readingOrder="0" shrinkToFit="0" wrapText="1"/>
    </xf>
    <xf borderId="0" fillId="0" fontId="3" numFmtId="170" xfId="0" applyAlignment="1" applyFont="1" applyNumberFormat="1">
      <alignment readingOrder="0"/>
    </xf>
    <xf borderId="0" fillId="0" fontId="3" numFmtId="166" xfId="0" applyAlignment="1" applyFont="1" applyNumberFormat="1">
      <alignment readingOrder="0"/>
    </xf>
    <xf borderId="0" fillId="0" fontId="3" numFmtId="3" xfId="0" applyAlignment="1" applyFont="1" applyNumberFormat="1">
      <alignment readingOrder="0" shrinkToFit="0" wrapText="1"/>
    </xf>
    <xf borderId="0" fillId="0" fontId="3" numFmtId="172" xfId="0" applyAlignment="1" applyFont="1" applyNumberFormat="1">
      <alignment readingOrder="0"/>
    </xf>
    <xf borderId="0" fillId="0" fontId="3" numFmtId="2" xfId="0" applyAlignment="1" applyFont="1" applyNumberFormat="1">
      <alignment readingOrder="0"/>
    </xf>
    <xf borderId="0" fillId="0" fontId="3" numFmtId="170" xfId="0" applyAlignment="1" applyFont="1" applyNumberFormat="1">
      <alignment readingOrder="0" shrinkToFit="0" wrapText="1"/>
    </xf>
    <xf borderId="0" fillId="0" fontId="3" numFmtId="4" xfId="0" applyAlignment="1" applyFont="1" applyNumberFormat="1">
      <alignment readingOrder="0"/>
    </xf>
    <xf borderId="0" fillId="0" fontId="5" numFmtId="170" xfId="0" applyAlignment="1" applyFont="1" applyNumberFormat="1">
      <alignment readingOrder="0" shrinkToFit="0" wrapText="1"/>
    </xf>
    <xf borderId="0" fillId="0" fontId="3" numFmtId="173" xfId="0" applyAlignment="1" applyFont="1" applyNumberFormat="1">
      <alignment readingOrder="0"/>
    </xf>
    <xf borderId="0" fillId="0" fontId="3" numFmtId="0" xfId="0" applyFont="1"/>
    <xf borderId="0" fillId="0" fontId="3" numFmtId="1" xfId="0" applyFont="1" applyNumberFormat="1"/>
    <xf borderId="0" fillId="0" fontId="3" numFmtId="170" xfId="0" applyFont="1" applyNumberFormat="1"/>
    <xf borderId="0" fillId="0" fontId="3" numFmtId="10" xfId="0" applyFont="1" applyNumberFormat="1"/>
    <xf borderId="0" fillId="0" fontId="3" numFmtId="2" xfId="0" applyFont="1" applyNumberFormat="1"/>
    <xf borderId="0" fillId="0" fontId="3" numFmtId="3" xfId="0" applyFont="1" applyNumberFormat="1"/>
    <xf borderId="0" fillId="0" fontId="3" numFmtId="174" xfId="0" applyFont="1" applyNumberFormat="1"/>
    <xf borderId="0" fillId="0" fontId="3" numFmtId="172" xfId="0" applyFont="1" applyNumberFormat="1"/>
    <xf borderId="0" fillId="0" fontId="3" numFmtId="4" xfId="0" applyFont="1" applyNumberFormat="1"/>
    <xf borderId="0" fillId="0" fontId="3" numFmtId="173" xfId="0" applyFont="1" applyNumberFormat="1"/>
    <xf borderId="0" fillId="0" fontId="3" numFmtId="0" xfId="0" applyFont="1"/>
    <xf borderId="0" fillId="0" fontId="6" numFmtId="0" xfId="0" applyAlignment="1" applyFont="1">
      <alignment readingOrder="0"/>
    </xf>
    <xf borderId="0" fillId="0" fontId="3" numFmtId="170" xfId="0" applyAlignment="1" applyFont="1" applyNumberFormat="1">
      <alignment shrinkToFit="0" wrapText="1"/>
    </xf>
    <xf borderId="0" fillId="0" fontId="3" numFmtId="169" xfId="0" applyAlignment="1" applyFont="1" applyNumberFormat="1">
      <alignment shrinkToFit="0" wrapText="1"/>
    </xf>
    <xf borderId="0" fillId="0" fontId="3" numFmtId="172" xfId="0" applyAlignment="1" applyFont="1" applyNumberFormat="1">
      <alignment readingOrder="0" shrinkToFit="0" wrapText="1"/>
    </xf>
    <xf borderId="0" fillId="0" fontId="3" numFmtId="11" xfId="0" applyAlignment="1" applyFont="1" applyNumberFormat="1">
      <alignment readingOrder="0"/>
    </xf>
    <xf borderId="0" fillId="0" fontId="4" numFmtId="0" xfId="0" applyAlignment="1" applyFont="1">
      <alignment shrinkToFit="0" wrapText="1"/>
    </xf>
    <xf borderId="0" fillId="0" fontId="7" numFmtId="0" xfId="0" applyFont="1"/>
    <xf borderId="0" fillId="0" fontId="4" numFmtId="10" xfId="0" applyFont="1" applyNumberFormat="1"/>
    <xf borderId="0" fillId="0" fontId="7" numFmtId="10" xfId="0" applyFont="1" applyNumberFormat="1"/>
    <xf borderId="0" fillId="0" fontId="4" numFmtId="170" xfId="0" applyAlignment="1" applyFont="1" applyNumberFormat="1">
      <alignment shrinkToFit="0" wrapText="1"/>
    </xf>
    <xf borderId="0" fillId="0" fontId="4" numFmtId="1" xfId="0" applyFont="1" applyNumberFormat="1"/>
    <xf borderId="0" fillId="0" fontId="7" numFmtId="1" xfId="0" applyFont="1" applyNumberFormat="1"/>
    <xf borderId="0" fillId="0" fontId="4" numFmtId="3" xfId="0" applyFont="1" applyNumberFormat="1"/>
    <xf borderId="0" fillId="0" fontId="7" numFmtId="3" xfId="0" applyFont="1" applyNumberFormat="1"/>
    <xf borderId="0" fillId="0" fontId="4" numFmtId="1" xfId="0" applyAlignment="1" applyFont="1" applyNumberFormat="1">
      <alignment shrinkToFit="0" wrapText="1"/>
    </xf>
    <xf borderId="0" fillId="0" fontId="4" numFmtId="169" xfId="0" applyAlignment="1" applyFont="1" applyNumberFormat="1">
      <alignment shrinkToFit="0" wrapText="1"/>
    </xf>
    <xf borderId="0" fillId="0" fontId="4" numFmtId="169" xfId="0" applyFont="1" applyNumberFormat="1"/>
    <xf borderId="0" fillId="0" fontId="7" numFmtId="169" xfId="0" applyFont="1" applyNumberFormat="1"/>
    <xf borderId="0" fillId="0" fontId="4" numFmtId="169" xfId="0" applyFont="1" applyNumberFormat="1"/>
    <xf borderId="0" fillId="0" fontId="7" numFmtId="169" xfId="0" applyFont="1" applyNumberFormat="1"/>
    <xf borderId="0" fillId="0" fontId="4" numFmtId="171" xfId="0" applyFont="1" applyNumberFormat="1"/>
    <xf borderId="0" fillId="0" fontId="7" numFmtId="171" xfId="0" applyFont="1" applyNumberFormat="1"/>
    <xf borderId="0" fillId="0" fontId="4" numFmtId="170" xfId="0" applyFont="1" applyNumberFormat="1"/>
    <xf borderId="0" fillId="0" fontId="7" numFmtId="170" xfId="0" applyFont="1" applyNumberFormat="1"/>
    <xf borderId="0" fillId="0" fontId="4" numFmtId="166" xfId="0" applyFont="1" applyNumberFormat="1"/>
    <xf borderId="0" fillId="0" fontId="7" numFmtId="166" xfId="0" applyFont="1" applyNumberFormat="1"/>
    <xf borderId="0" fillId="0" fontId="4" numFmtId="3" xfId="0" applyAlignment="1" applyFont="1" applyNumberFormat="1">
      <alignment shrinkToFit="0" wrapText="1"/>
    </xf>
    <xf borderId="0" fillId="0" fontId="4" numFmtId="172" xfId="0" applyFont="1" applyNumberFormat="1"/>
    <xf borderId="0" fillId="0" fontId="7" numFmtId="172" xfId="0" applyFont="1" applyNumberFormat="1"/>
    <xf borderId="0" fillId="0" fontId="4" numFmtId="2" xfId="0" applyFont="1" applyNumberFormat="1"/>
    <xf borderId="0" fillId="0" fontId="7" numFmtId="2" xfId="0" applyFont="1" applyNumberFormat="1"/>
    <xf borderId="0" fillId="0" fontId="4" numFmtId="4" xfId="0" applyFont="1" applyNumberFormat="1"/>
    <xf borderId="0" fillId="0" fontId="7" numFmtId="4" xfId="0" applyFont="1" applyNumberFormat="1"/>
    <xf borderId="0" fillId="0" fontId="4" numFmtId="173" xfId="0" applyFont="1" applyNumberFormat="1"/>
    <xf borderId="0" fillId="0" fontId="7" numFmtId="173" xfId="0" applyFont="1" applyNumberFormat="1"/>
    <xf borderId="0" fillId="4" fontId="4" numFmtId="0" xfId="0" applyAlignment="1" applyFont="1">
      <alignment readingOrder="0"/>
    </xf>
    <xf borderId="0" fillId="0" fontId="3" numFmtId="165" xfId="0" applyAlignment="1" applyFont="1" applyNumberFormat="1">
      <alignment readingOrder="0"/>
    </xf>
    <xf borderId="0" fillId="0" fontId="7" numFmtId="165" xfId="0" applyFont="1" applyNumberFormat="1"/>
    <xf borderId="0" fillId="0" fontId="8" numFmtId="1" xfId="0" applyAlignment="1" applyFont="1" applyNumberFormat="1">
      <alignment readingOrder="0"/>
    </xf>
    <xf borderId="0" fillId="0" fontId="3" numFmtId="1" xfId="0" applyAlignment="1" applyFont="1" applyNumberFormat="1">
      <alignment readingOrder="0" shrinkToFit="0" wrapText="1"/>
    </xf>
    <xf borderId="0" fillId="0" fontId="3" numFmtId="10" xfId="0" applyAlignment="1" applyFont="1" applyNumberFormat="1">
      <alignment shrinkToFit="0" wrapText="1"/>
    </xf>
    <xf borderId="0" fillId="0" fontId="3" numFmtId="3" xfId="0" applyAlignment="1" applyFont="1" applyNumberFormat="1">
      <alignment shrinkToFit="0" wrapText="1"/>
    </xf>
    <xf borderId="0" fillId="0" fontId="3" numFmtId="175" xfId="0" applyAlignment="1" applyFont="1" applyNumberFormat="1">
      <alignment readingOrder="0"/>
    </xf>
    <xf borderId="0" fillId="4" fontId="9" numFmtId="0" xfId="0" applyAlignment="1" applyFont="1">
      <alignment readingOrder="0" vertical="bottom"/>
    </xf>
    <xf borderId="0" fillId="0" fontId="10" numFmtId="0" xfId="0" applyAlignment="1" applyFont="1">
      <alignment vertical="bottom"/>
    </xf>
    <xf borderId="0" fillId="0" fontId="10" numFmtId="0" xfId="0" applyAlignment="1" applyFont="1">
      <alignment vertical="bottom"/>
    </xf>
    <xf borderId="0" fillId="0" fontId="10" numFmtId="2" xfId="0" applyAlignment="1" applyFont="1" applyNumberFormat="1">
      <alignment vertical="bottom"/>
    </xf>
    <xf borderId="1" fillId="4" fontId="9" numFmtId="0" xfId="0" applyAlignment="1" applyBorder="1" applyFont="1">
      <alignment readingOrder="0" vertical="bottom"/>
    </xf>
  </cellXfs>
  <cellStyles count="1">
    <cellStyle xfId="0" name="Normal" builtinId="0"/>
  </cellStyles>
  <dxfs count="2">
    <dxf>
      <font/>
      <fill>
        <patternFill patternType="solid">
          <fgColor rgb="FFB7E1CD"/>
          <bgColor rgb="FFB7E1CD"/>
        </patternFill>
      </fill>
      <border/>
    </dxf>
    <dxf>
      <font>
        <color rgb="FFEFEFEF"/>
      </font>
      <fill>
        <patternFill patternType="solid">
          <fgColor rgb="FF999999"/>
          <bgColor rgb="FF999999"/>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oom.com/share/27f9fd5bd348431ebfb421131fbb8524?sid=bfd8e694-486a-4ada-98b4-d2237fdb5da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nature.com/articles/s41592-022-01711-z"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nature.com/articles/s41467-024-50846-4" TargetMode="External"/><Relationship Id="rId2" Type="http://schemas.openxmlformats.org/officeDocument/2006/relationships/hyperlink" Target="https://pmc.ncbi.nlm.nih.gov/articles/PMC12157702/" TargetMode="External"/><Relationship Id="rId3" Type="http://schemas.openxmlformats.org/officeDocument/2006/relationships/hyperlink" Target="https://pmc.ncbi.nlm.nih.gov/articles/PMC12157702/"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8.71"/>
  </cols>
  <sheetData>
    <row r="1">
      <c r="A1" s="1" t="s">
        <v>0</v>
      </c>
    </row>
    <row r="3">
      <c r="A3" s="2" t="s">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3"/>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43"/>
    <col customWidth="1" min="2" max="5" width="16.29"/>
    <col customWidth="1" min="6" max="6" width="17.0"/>
    <col customWidth="1" min="7" max="9" width="16.29"/>
    <col customWidth="1" min="10" max="10" width="17.0"/>
    <col customWidth="1" min="11" max="27" width="8.71"/>
  </cols>
  <sheetData>
    <row r="1">
      <c r="A1" s="3" t="s">
        <v>2</v>
      </c>
    </row>
    <row r="2" ht="15.75" customHeight="1">
      <c r="B2" s="4" t="s">
        <v>3</v>
      </c>
      <c r="F2" s="5" t="s">
        <v>4</v>
      </c>
    </row>
    <row r="3" ht="15.75" customHeight="1">
      <c r="A3" s="6" t="str">
        <f>'Connectome with proofreading'!A52</f>
        <v>Human proofreading hours per neuron</v>
      </c>
      <c r="B3" s="7">
        <v>5.0</v>
      </c>
      <c r="F3" s="7">
        <v>0.005</v>
      </c>
    </row>
    <row r="4" ht="15.75" customHeight="1">
      <c r="A4" s="6" t="str">
        <f>'Connectome with proofreading'!A53</f>
        <v>Hourly rate of proof-reader</v>
      </c>
      <c r="B4" s="8">
        <v>50.0</v>
      </c>
      <c r="F4" s="8">
        <v>50.0</v>
      </c>
    </row>
    <row r="5" ht="15.75" customHeight="1">
      <c r="A5" s="6" t="str">
        <f>'Connectome with proofreading'!A54</f>
        <v>Proofreading hours per day</v>
      </c>
      <c r="B5" s="9">
        <v>6.0</v>
      </c>
      <c r="F5" s="9">
        <v>6.0</v>
      </c>
    </row>
    <row r="6" ht="15.75" customHeight="1">
      <c r="A6" s="6" t="str">
        <f>'Connectome with proofreading'!A55</f>
        <v>Number of proofreaders</v>
      </c>
      <c r="B6" s="10">
        <v>25000.0</v>
      </c>
      <c r="F6" s="10">
        <v>1000.0</v>
      </c>
      <c r="J6" s="10"/>
    </row>
    <row r="7" ht="15.75" customHeight="1">
      <c r="B7" s="11" t="s">
        <v>3</v>
      </c>
      <c r="F7" s="12" t="s">
        <v>4</v>
      </c>
    </row>
    <row r="8" ht="15.75" customHeight="1">
      <c r="A8" s="13" t="s">
        <v>5</v>
      </c>
      <c r="B8" s="14" t="s">
        <v>6</v>
      </c>
      <c r="C8" s="14" t="s">
        <v>7</v>
      </c>
      <c r="D8" s="14" t="s">
        <v>8</v>
      </c>
      <c r="E8" s="14" t="str">
        <f>"ExM "&amp;'Specification Imaging Modalitie'!G7&amp;" Molecular Annotations"&amp;CHAR(10)&amp;"2025"</f>
        <v>ExM 800 Molecular Annotations
2025</v>
      </c>
      <c r="F8" s="14" t="s">
        <v>6</v>
      </c>
      <c r="G8" s="14" t="s">
        <v>9</v>
      </c>
      <c r="H8" s="14" t="s">
        <v>8</v>
      </c>
      <c r="I8" s="14" t="str">
        <f>"ExM "&amp;'Specification Imaging Modalitie'!G7&amp;" Molecular Annotations"&amp;CHAR(10)&amp;"2025"</f>
        <v>ExM 800 Molecular Annotations
2025</v>
      </c>
    </row>
    <row r="9" ht="15.75" customHeight="1">
      <c r="A9" s="6" t="str">
        <f>'Connectome with proofreading'!A147</f>
        <v>Total duration</v>
      </c>
      <c r="B9" s="15">
        <f>'Connectome with proofreading'!I147</f>
        <v>5</v>
      </c>
      <c r="C9" s="15">
        <f>'Connectome with proofreading'!F147</f>
        <v>5</v>
      </c>
      <c r="D9" s="15">
        <f>'Connectome with proofreading'!G147</f>
        <v>5</v>
      </c>
      <c r="E9" s="15">
        <f>'Connectome with proofreading'!H147</f>
        <v>5</v>
      </c>
      <c r="F9" s="15">
        <f>'Connectome without proofreading'!I147</f>
        <v>5</v>
      </c>
      <c r="G9" s="15">
        <f>'Connectome without proofreading'!F147</f>
        <v>5</v>
      </c>
      <c r="H9" s="15">
        <f>'Connectome without proofreading'!G147</f>
        <v>5</v>
      </c>
      <c r="I9" s="15">
        <f>'Connectome without proofreading'!H147</f>
        <v>5</v>
      </c>
    </row>
    <row r="10" ht="15.75" customHeight="1">
      <c r="A10" s="6" t="str">
        <f>'Connectome with proofreading'!A148</f>
        <v>Total connectomes</v>
      </c>
      <c r="B10" s="6">
        <f>'Connectome with proofreading'!I148</f>
        <v>1</v>
      </c>
      <c r="C10" s="6">
        <f>'Connectome with proofreading'!F148</f>
        <v>1</v>
      </c>
      <c r="D10" s="6">
        <f>'Connectome with proofreading'!G148</f>
        <v>1</v>
      </c>
      <c r="E10" s="6">
        <f>'Connectome with proofreading'!H148</f>
        <v>1</v>
      </c>
      <c r="F10" s="6">
        <f>'Connectome without proofreading'!I148</f>
        <v>1</v>
      </c>
      <c r="G10" s="6">
        <f>'Connectome without proofreading'!F148</f>
        <v>18</v>
      </c>
      <c r="H10" s="6">
        <f>'Connectome without proofreading'!G148</f>
        <v>31</v>
      </c>
      <c r="I10" s="6">
        <f>'Connectome without proofreading'!H148</f>
        <v>2</v>
      </c>
    </row>
    <row r="11" ht="15.75" customHeight="1">
      <c r="A11" s="16" t="str">
        <f>'Connectome with proofreading'!A150</f>
        <v>Timelines</v>
      </c>
      <c r="B11" s="16"/>
      <c r="C11" s="16"/>
      <c r="D11" s="16"/>
      <c r="E11" s="16"/>
      <c r="F11" s="16"/>
      <c r="G11" s="16"/>
      <c r="H11" s="16"/>
      <c r="I11" s="16"/>
    </row>
    <row r="12" ht="15.75" customHeight="1">
      <c r="A12" s="6" t="str">
        <f>'Connectome with proofreading'!A151</f>
        <v>Imaging years</v>
      </c>
      <c r="B12" s="17">
        <f>'Connectome with proofreading'!I151</f>
        <v>6.447114473</v>
      </c>
      <c r="C12" s="17">
        <f>'Connectome with proofreading'!F151</f>
        <v>0.2498846442</v>
      </c>
      <c r="D12" s="17">
        <f>'Connectome with proofreading'!G151</f>
        <v>0.04896760605</v>
      </c>
      <c r="E12" s="17">
        <f>'Connectome with proofreading'!H151</f>
        <v>2.402610581</v>
      </c>
      <c r="F12" s="17">
        <f>'Connectome without proofreading'!I151</f>
        <v>7.017250127</v>
      </c>
      <c r="G12" s="17">
        <f>'Connectome without proofreading'!F151</f>
        <v>0.2707635196</v>
      </c>
      <c r="H12" s="17">
        <f>'Connectome without proofreading'!G151</f>
        <v>0.04975477761</v>
      </c>
      <c r="I12" s="17">
        <f>'Connectome without proofreading'!H151</f>
        <v>2.63876205</v>
      </c>
    </row>
    <row r="13" ht="15.75" customHeight="1">
      <c r="A13" s="6" t="str">
        <f>'Connectome with proofreading'!A152</f>
        <v>Processing years</v>
      </c>
      <c r="B13" s="17">
        <f>'Connectome with proofreading'!I152</f>
        <v>0.2042950216</v>
      </c>
      <c r="C13" s="17">
        <f>'Connectome with proofreading'!F152</f>
        <v>0.06112530785</v>
      </c>
      <c r="D13" s="17">
        <f>'Connectome with proofreading'!G152</f>
        <v>0.02405231197</v>
      </c>
      <c r="E13" s="17">
        <f>'Connectome with proofreading'!H152</f>
        <v>0.02403766181</v>
      </c>
      <c r="F13" s="17">
        <f>'Connectome without proofreading'!I152</f>
        <v>0.2042950216</v>
      </c>
      <c r="G13" s="17">
        <f>'Connectome without proofreading'!F152</f>
        <v>0.06112530785</v>
      </c>
      <c r="H13" s="17">
        <f>'Connectome without proofreading'!G152</f>
        <v>0.02405231197</v>
      </c>
      <c r="I13" s="17">
        <f>'Connectome without proofreading'!H152</f>
        <v>0.02403766181</v>
      </c>
    </row>
    <row r="14" ht="15.75" customHeight="1">
      <c r="A14" s="6" t="str">
        <f>'Connectome with proofreading'!A153</f>
        <v>Proofreading years</v>
      </c>
      <c r="B14" s="17">
        <f>'Connectome with proofreading'!I153</f>
        <v>6.392694064</v>
      </c>
      <c r="C14" s="17">
        <f>'Connectome with proofreading'!F153</f>
        <v>6.392694064</v>
      </c>
      <c r="D14" s="17">
        <f>'Connectome with proofreading'!G153</f>
        <v>6.392694064</v>
      </c>
      <c r="E14" s="17">
        <f>'Connectome with proofreading'!H153</f>
        <v>6.392694064</v>
      </c>
      <c r="F14" s="17">
        <f>'Connectome without proofreading'!I153</f>
        <v>0.1598173516</v>
      </c>
      <c r="G14" s="17">
        <f>'Connectome without proofreading'!F153</f>
        <v>0.1598173516</v>
      </c>
      <c r="H14" s="17">
        <f>'Connectome without proofreading'!G153</f>
        <v>0.1598173516</v>
      </c>
      <c r="I14" s="17">
        <f>'Connectome without proofreading'!H153</f>
        <v>0.1598173516</v>
      </c>
    </row>
    <row r="15" ht="15.75" customHeight="1">
      <c r="A15" s="6" t="str">
        <f>'Connectome with proofreading'!A154</f>
        <v>Buffer years</v>
      </c>
      <c r="B15" s="17">
        <f>'Connectome with proofreading'!I154</f>
        <v>2.608820712</v>
      </c>
      <c r="C15" s="17">
        <f>'Connectome with proofreading'!F154</f>
        <v>1.340740803</v>
      </c>
      <c r="D15" s="17">
        <f>'Connectome with proofreading'!G154</f>
        <v>1.293142796</v>
      </c>
      <c r="E15" s="17">
        <f>'Connectome with proofreading'!H154</f>
        <v>1.763868461</v>
      </c>
      <c r="F15" s="17">
        <f>'Connectome without proofreading'!I154</f>
        <v>1.4762725</v>
      </c>
      <c r="G15" s="17">
        <f>'Connectome without proofreading'!F154</f>
        <v>0.09834123581</v>
      </c>
      <c r="H15" s="17">
        <f>'Connectome without proofreading'!G154</f>
        <v>0.04672488824</v>
      </c>
      <c r="I15" s="17">
        <f>'Connectome without proofreading'!H154</f>
        <v>0.5645234126</v>
      </c>
    </row>
    <row r="16" ht="15.75" customHeight="1">
      <c r="A16" s="6" t="str">
        <f>'Connectome with proofreading'!A155</f>
        <v>Total years First connectome</v>
      </c>
      <c r="B16" s="17">
        <f>'Connectome with proofreading'!I155</f>
        <v>15.65292427</v>
      </c>
      <c r="C16" s="17">
        <f>'Connectome with proofreading'!F155</f>
        <v>8.044444819</v>
      </c>
      <c r="D16" s="17">
        <f>'Connectome with proofreading'!G155</f>
        <v>7.758856778</v>
      </c>
      <c r="E16" s="17">
        <f>'Connectome with proofreading'!H155</f>
        <v>10.58321077</v>
      </c>
      <c r="F16" s="17">
        <f>'Connectome without proofreading'!I155</f>
        <v>8.857635</v>
      </c>
      <c r="G16" s="17">
        <f>'Connectome without proofreading'!F155</f>
        <v>0.5900474148</v>
      </c>
      <c r="H16" s="17">
        <f>'Connectome without proofreading'!G155</f>
        <v>0.2803493294</v>
      </c>
      <c r="I16" s="17">
        <f>'Connectome without proofreading'!H155</f>
        <v>3.387140476</v>
      </c>
    </row>
    <row r="17" ht="15.75" customHeight="1">
      <c r="A17" s="6" t="str">
        <f>'Connectome with proofreading'!A156</f>
        <v>Time to marginal</v>
      </c>
      <c r="B17" s="17">
        <f>'Connectome with proofreading'!I156</f>
        <v>6.447114473</v>
      </c>
      <c r="C17" s="17">
        <f>'Connectome with proofreading'!F156</f>
        <v>6.392694064</v>
      </c>
      <c r="D17" s="17">
        <f>'Connectome with proofreading'!G156</f>
        <v>6.392694064</v>
      </c>
      <c r="E17" s="17">
        <f>'Connectome with proofreading'!H156</f>
        <v>6.392694064</v>
      </c>
      <c r="F17" s="17">
        <f>'Connectome without proofreading'!I156</f>
        <v>7.017250127</v>
      </c>
      <c r="G17" s="17">
        <f>'Connectome without proofreading'!F156</f>
        <v>0.2707635196</v>
      </c>
      <c r="H17" s="17">
        <f>'Connectome without proofreading'!G156</f>
        <v>0.1598173516</v>
      </c>
      <c r="I17" s="17">
        <f>'Connectome without proofreading'!H156</f>
        <v>2.63876205</v>
      </c>
    </row>
    <row r="18" ht="15.75" customHeight="1">
      <c r="A18" s="16" t="str">
        <f>'Connectome with proofreading'!A157</f>
        <v>Average Connectome</v>
      </c>
      <c r="B18" s="16"/>
      <c r="C18" s="16"/>
      <c r="D18" s="16"/>
      <c r="E18" s="16"/>
      <c r="F18" s="16"/>
      <c r="G18" s="16"/>
      <c r="H18" s="16"/>
      <c r="I18" s="16"/>
    </row>
    <row r="19" ht="15.75" customHeight="1">
      <c r="A19" s="6" t="str">
        <f>'Connectome with proofreading'!A158</f>
        <v>Imaging $</v>
      </c>
      <c r="B19" s="18">
        <f>'Connectome with proofreading'!I158</f>
        <v>188015860.9</v>
      </c>
      <c r="C19" s="18">
        <f>'Connectome with proofreading'!F158</f>
        <v>109173731.1</v>
      </c>
      <c r="D19" s="18">
        <f>'Connectome with proofreading'!G158</f>
        <v>56616973.66</v>
      </c>
      <c r="E19" s="18">
        <f>'Connectome with proofreading'!H158</f>
        <v>66595181.26</v>
      </c>
      <c r="F19" s="18">
        <f>'Connectome without proofreading'!I158</f>
        <v>190809525.6</v>
      </c>
      <c r="G19" s="18">
        <f>'Connectome without proofreading'!F158</f>
        <v>57458954.27</v>
      </c>
      <c r="H19" s="18">
        <f>'Connectome without proofreading'!G158</f>
        <v>3394237.181</v>
      </c>
      <c r="I19" s="18">
        <f>'Connectome without proofreading'!H158</f>
        <v>40016171.99</v>
      </c>
    </row>
    <row r="20" ht="15.75" customHeight="1">
      <c r="A20" s="6" t="str">
        <f>'Connectome with proofreading'!A159</f>
        <v>Storage $</v>
      </c>
      <c r="B20" s="18">
        <f>'Connectome with proofreading'!I159</f>
        <v>185781250</v>
      </c>
      <c r="C20" s="18">
        <f>'Connectome with proofreading'!F159</f>
        <v>55046296.3</v>
      </c>
      <c r="D20" s="18">
        <f>'Connectome with proofreading'!G159</f>
        <v>30438400</v>
      </c>
      <c r="E20" s="18">
        <f>'Connectome with proofreading'!H159</f>
        <v>30438400</v>
      </c>
      <c r="F20" s="18">
        <f>'Connectome without proofreading'!I159</f>
        <v>204359375</v>
      </c>
      <c r="G20" s="18">
        <f>'Connectome without proofreading'!F159</f>
        <v>4777983.539</v>
      </c>
      <c r="H20" s="18">
        <f>'Connectome without proofreading'!G159</f>
        <v>1881269.677</v>
      </c>
      <c r="I20" s="18">
        <f>'Connectome without proofreading'!H159</f>
        <v>17155072</v>
      </c>
    </row>
    <row r="21" ht="15.75" customHeight="1">
      <c r="A21" s="6" t="str">
        <f>'Connectome with proofreading'!A160</f>
        <v>Processing $</v>
      </c>
      <c r="B21" s="18">
        <f>'Connectome with proofreading'!I160</f>
        <v>5579248.779</v>
      </c>
      <c r="C21" s="18">
        <f>'Connectome with proofreading'!F160</f>
        <v>2613629.514</v>
      </c>
      <c r="D21" s="18">
        <f>'Connectome with proofreading'!G160</f>
        <v>2421138.622</v>
      </c>
      <c r="E21" s="18">
        <f>'Connectome with proofreading'!H160</f>
        <v>2421096.569</v>
      </c>
      <c r="F21" s="18">
        <f>'Connectome without proofreading'!I160</f>
        <v>5895064.848</v>
      </c>
      <c r="G21" s="18">
        <f>'Connectome without proofreading'!F160</f>
        <v>743994.7678</v>
      </c>
      <c r="H21" s="18">
        <f>'Connectome without proofreading'!G160</f>
        <v>485659.8043</v>
      </c>
      <c r="I21" s="18">
        <f>'Connectome without proofreading'!H160</f>
        <v>1421097.417</v>
      </c>
    </row>
    <row r="22" ht="15.75" customHeight="1">
      <c r="A22" s="6" t="str">
        <f>'Connectome with proofreading'!A161</f>
        <v>Proofreading $</v>
      </c>
      <c r="B22" s="18">
        <f>'Connectome with proofreading'!I161</f>
        <v>17500000000</v>
      </c>
      <c r="C22" s="18">
        <f>'Connectome with proofreading'!F161</f>
        <v>5185185185</v>
      </c>
      <c r="D22" s="18">
        <f>'Connectome with proofreading'!G161</f>
        <v>2867200000</v>
      </c>
      <c r="E22" s="18">
        <f>'Connectome with proofreading'!H161</f>
        <v>2867200000</v>
      </c>
      <c r="F22" s="18">
        <f>'Connectome without proofreading'!I161</f>
        <v>19250000</v>
      </c>
      <c r="G22" s="18">
        <f>'Connectome without proofreading'!F161</f>
        <v>5703703.704</v>
      </c>
      <c r="H22" s="18">
        <f>'Connectome without proofreading'!G161</f>
        <v>3153920</v>
      </c>
      <c r="I22" s="18">
        <f>'Connectome without proofreading'!H161</f>
        <v>3153920</v>
      </c>
    </row>
    <row r="23" ht="15.75" customHeight="1">
      <c r="A23" s="6" t="str">
        <f>'Connectome with proofreading'!A162</f>
        <v>Personnel $</v>
      </c>
      <c r="B23" s="18">
        <f>'Connectome with proofreading'!I162</f>
        <v>26250000</v>
      </c>
      <c r="C23" s="18">
        <f>'Connectome with proofreading'!F162</f>
        <v>26250000</v>
      </c>
      <c r="D23" s="18">
        <f>'Connectome with proofreading'!G162</f>
        <v>26250000</v>
      </c>
      <c r="E23" s="18">
        <f>'Connectome with proofreading'!H162</f>
        <v>26250000</v>
      </c>
      <c r="F23" s="18">
        <f>'Connectome without proofreading'!I162</f>
        <v>26250000</v>
      </c>
      <c r="G23" s="18">
        <f>'Connectome without proofreading'!F162</f>
        <v>1458333.333</v>
      </c>
      <c r="H23" s="18">
        <f>'Connectome without proofreading'!G162</f>
        <v>846774.1935</v>
      </c>
      <c r="I23" s="18">
        <f>'Connectome without proofreading'!H162</f>
        <v>13125000</v>
      </c>
    </row>
    <row r="24" ht="15.75" customHeight="1">
      <c r="A24" s="6" t="str">
        <f>'Connectome with proofreading'!A163</f>
        <v>Buffer $</v>
      </c>
      <c r="B24" s="18">
        <f>'Connectome with proofreading'!I163</f>
        <v>3581125272</v>
      </c>
      <c r="C24" s="18">
        <f>'Connectome with proofreading'!F163</f>
        <v>1075653768</v>
      </c>
      <c r="D24" s="18">
        <f>'Connectome with proofreading'!G163</f>
        <v>596585302.5</v>
      </c>
      <c r="E24" s="18">
        <f>'Connectome with proofreading'!H163</f>
        <v>598580935.6</v>
      </c>
      <c r="F24" s="18">
        <f>'Connectome without proofreading'!I163</f>
        <v>89312793.09</v>
      </c>
      <c r="G24" s="18">
        <f>'Connectome without proofreading'!F163</f>
        <v>5005058.859</v>
      </c>
      <c r="H24" s="18">
        <f>'Connectome without proofreading'!G163</f>
        <v>955145.2436</v>
      </c>
      <c r="I24" s="18">
        <f>'Connectome without proofreading'!H163</f>
        <v>12720945.28</v>
      </c>
    </row>
    <row r="25" ht="15.75" customHeight="1">
      <c r="A25" s="6" t="str">
        <f>'Connectome with proofreading'!A164</f>
        <v>Total $</v>
      </c>
      <c r="B25" s="18">
        <f>'Connectome with proofreading'!I164</f>
        <v>21486751632</v>
      </c>
      <c r="C25" s="18">
        <f>'Connectome with proofreading'!F164</f>
        <v>6453922610</v>
      </c>
      <c r="D25" s="18">
        <f>'Connectome with proofreading'!G164</f>
        <v>3579511815</v>
      </c>
      <c r="E25" s="18">
        <f>'Connectome with proofreading'!H164</f>
        <v>3591485613</v>
      </c>
      <c r="F25" s="18">
        <f>'Connectome without proofreading'!I164</f>
        <v>535876758.6</v>
      </c>
      <c r="G25" s="18">
        <f>'Connectome without proofreading'!F164</f>
        <v>75148028.47</v>
      </c>
      <c r="H25" s="18">
        <f>'Connectome without proofreading'!G164</f>
        <v>10717006.1</v>
      </c>
      <c r="I25" s="18">
        <f>'Connectome without proofreading'!H164</f>
        <v>87592206.69</v>
      </c>
    </row>
    <row r="26" ht="15.75" customHeight="1">
      <c r="A26" s="6" t="str">
        <f>'Connectome with proofreading'!A165</f>
        <v>Cost per neuron</v>
      </c>
      <c r="B26" s="19">
        <f>'Connectome with proofreading'!I165</f>
        <v>306.9535947</v>
      </c>
      <c r="C26" s="19">
        <f>'Connectome with proofreading'!F165</f>
        <v>92.19889444</v>
      </c>
      <c r="D26" s="19">
        <f>'Connectome with proofreading'!G165</f>
        <v>51.13588307</v>
      </c>
      <c r="E26" s="19">
        <f>'Connectome with proofreading'!H165</f>
        <v>51.30693733</v>
      </c>
      <c r="F26" s="19">
        <f>'Connectome without proofreading'!I165</f>
        <v>7.655382265</v>
      </c>
      <c r="G26" s="19">
        <f>'Connectome without proofreading'!F165</f>
        <v>1.073543264</v>
      </c>
      <c r="H26" s="19">
        <f>'Connectome without proofreading'!G165</f>
        <v>0.1531000871</v>
      </c>
      <c r="I26" s="19">
        <f>'Connectome without proofreading'!H165</f>
        <v>1.251317238</v>
      </c>
    </row>
    <row r="27" ht="15.75" customHeight="1">
      <c r="A27" s="20" t="str">
        <f>'Connectome with proofreading'!A166</f>
        <v>First Connectome</v>
      </c>
      <c r="B27" s="6" t="str">
        <f>'Connectome with proofreading'!I166</f>
        <v/>
      </c>
      <c r="C27" s="6" t="str">
        <f>'Connectome with proofreading'!F166</f>
        <v/>
      </c>
      <c r="D27" s="6" t="str">
        <f>'Connectome with proofreading'!G166</f>
        <v/>
      </c>
      <c r="E27" s="6" t="str">
        <f>'Connectome with proofreading'!H166</f>
        <v/>
      </c>
      <c r="F27" s="6" t="str">
        <f>'Connectome without proofreading'!I166</f>
        <v/>
      </c>
      <c r="G27" s="6" t="str">
        <f>'Connectome without proofreading'!F166</f>
        <v/>
      </c>
      <c r="H27" s="6" t="str">
        <f>'Connectome without proofreading'!G166</f>
        <v/>
      </c>
      <c r="I27" s="6" t="str">
        <f>'Connectome without proofreading'!H166</f>
        <v/>
      </c>
    </row>
    <row r="28" ht="15.75" customHeight="1">
      <c r="A28" s="6" t="str">
        <f>'Connectome with proofreading'!A167</f>
        <v>Imaging $</v>
      </c>
      <c r="B28" s="21">
        <f>'Connectome with proofreading'!I167</f>
        <v>188015860.9</v>
      </c>
      <c r="C28" s="21">
        <f>'Connectome with proofreading'!F167</f>
        <v>109173731.1</v>
      </c>
      <c r="D28" s="21">
        <f>'Connectome with proofreading'!G167</f>
        <v>56616973.66</v>
      </c>
      <c r="E28" s="21">
        <f>'Connectome with proofreading'!H167</f>
        <v>66595181.26</v>
      </c>
      <c r="F28" s="21">
        <f>'Connectome without proofreading'!I167</f>
        <v>190809525.6</v>
      </c>
      <c r="G28" s="21">
        <f>'Connectome without proofreading'!F167</f>
        <v>109403398.7</v>
      </c>
      <c r="H28" s="21">
        <f>'Connectome without proofreading'!G167</f>
        <v>56620043.63</v>
      </c>
      <c r="I28" s="21">
        <f>'Connectome without proofreading'!H167</f>
        <v>67516171.99</v>
      </c>
    </row>
    <row r="29" ht="15.75" customHeight="1">
      <c r="A29" s="6" t="str">
        <f>'Connectome with proofreading'!A168</f>
        <v>Storage $</v>
      </c>
      <c r="B29" s="21">
        <f>'Connectome with proofreading'!I168</f>
        <v>185781250</v>
      </c>
      <c r="C29" s="21">
        <f>'Connectome with proofreading'!F168</f>
        <v>55046296.3</v>
      </c>
      <c r="D29" s="21">
        <f>'Connectome with proofreading'!G168</f>
        <v>30438400</v>
      </c>
      <c r="E29" s="21">
        <f>'Connectome with proofreading'!H168</f>
        <v>30438400</v>
      </c>
      <c r="F29" s="21">
        <f>'Connectome without proofreading'!I168</f>
        <v>204359375</v>
      </c>
      <c r="G29" s="21">
        <f>'Connectome without proofreading'!F168</f>
        <v>60550925.93</v>
      </c>
      <c r="H29" s="21">
        <f>'Connectome without proofreading'!G168</f>
        <v>33482240</v>
      </c>
      <c r="I29" s="21">
        <f>'Connectome without proofreading'!H168</f>
        <v>33482240</v>
      </c>
    </row>
    <row r="30" ht="15.75" customHeight="1">
      <c r="A30" s="6" t="str">
        <f>'Connectome with proofreading'!A169</f>
        <v>Processing $</v>
      </c>
      <c r="B30" s="21">
        <f>'Connectome with proofreading'!I169</f>
        <v>5579248.779</v>
      </c>
      <c r="C30" s="21">
        <f>'Connectome with proofreading'!F169</f>
        <v>2613629.514</v>
      </c>
      <c r="D30" s="21">
        <f>'Connectome with proofreading'!G169</f>
        <v>2421138.622</v>
      </c>
      <c r="E30" s="21">
        <f>'Connectome with proofreading'!H169</f>
        <v>2421096.569</v>
      </c>
      <c r="F30" s="21">
        <f>'Connectome without proofreading'!I169</f>
        <v>5895064.848</v>
      </c>
      <c r="G30" s="21">
        <f>'Connectome without proofreading'!F169</f>
        <v>2632883.657</v>
      </c>
      <c r="H30" s="21">
        <f>'Connectome without proofreading'!G169</f>
        <v>2421143.675</v>
      </c>
      <c r="I30" s="21">
        <f>'Connectome without proofreading'!H169</f>
        <v>2421097.417</v>
      </c>
    </row>
    <row r="31" ht="15.75" customHeight="1">
      <c r="A31" s="6" t="str">
        <f>'Connectome with proofreading'!A170</f>
        <v>Proofreading $</v>
      </c>
      <c r="B31" s="21">
        <f>'Connectome with proofreading'!I170</f>
        <v>17500000000</v>
      </c>
      <c r="C31" s="21">
        <f>'Connectome with proofreading'!F170</f>
        <v>5185185185</v>
      </c>
      <c r="D31" s="21">
        <f>'Connectome with proofreading'!G170</f>
        <v>2867200000</v>
      </c>
      <c r="E31" s="21">
        <f>'Connectome with proofreading'!H170</f>
        <v>2867200000</v>
      </c>
      <c r="F31" s="21">
        <f>'Connectome without proofreading'!I170</f>
        <v>19250000</v>
      </c>
      <c r="G31" s="21">
        <f>'Connectome without proofreading'!F170</f>
        <v>5703703.704</v>
      </c>
      <c r="H31" s="21">
        <f>'Connectome without proofreading'!G170</f>
        <v>3153920</v>
      </c>
      <c r="I31" s="21">
        <f>'Connectome without proofreading'!H170</f>
        <v>3153920</v>
      </c>
    </row>
    <row r="32" ht="15.75" customHeight="1">
      <c r="A32" s="6" t="str">
        <f>'Connectome with proofreading'!A171</f>
        <v>Personnel $</v>
      </c>
      <c r="B32" s="21">
        <f>'Connectome with proofreading'!I171</f>
        <v>26250000</v>
      </c>
      <c r="C32" s="21">
        <f>'Connectome with proofreading'!F171</f>
        <v>26250000</v>
      </c>
      <c r="D32" s="21">
        <f>'Connectome with proofreading'!G171</f>
        <v>26250000</v>
      </c>
      <c r="E32" s="21">
        <f>'Connectome with proofreading'!H171</f>
        <v>26250000</v>
      </c>
      <c r="F32" s="21">
        <f>'Connectome without proofreading'!I171</f>
        <v>26250000</v>
      </c>
      <c r="G32" s="21">
        <f>'Connectome without proofreading'!F171</f>
        <v>1458333.333</v>
      </c>
      <c r="H32" s="21">
        <f>'Connectome without proofreading'!G171</f>
        <v>846774.1935</v>
      </c>
      <c r="I32" s="21">
        <f>'Connectome without proofreading'!H171</f>
        <v>13125000</v>
      </c>
    </row>
    <row r="33" ht="15.75" customHeight="1">
      <c r="A33" s="6" t="str">
        <f>'Connectome with proofreading'!A172</f>
        <v>Buffer $</v>
      </c>
      <c r="B33" s="22">
        <f>'Connectome with proofreading'!I172</f>
        <v>3581125272</v>
      </c>
      <c r="C33" s="22">
        <f>'Connectome with proofreading'!F172</f>
        <v>1075653768</v>
      </c>
      <c r="D33" s="22">
        <f>'Connectome with proofreading'!G172</f>
        <v>596585302.5</v>
      </c>
      <c r="E33" s="22">
        <f>'Connectome with proofreading'!H172</f>
        <v>598580935.6</v>
      </c>
      <c r="F33" s="22">
        <f>'Connectome without proofreading'!I172</f>
        <v>89312793.09</v>
      </c>
      <c r="G33" s="22">
        <f>'Connectome without proofreading'!F172</f>
        <v>35949849.07</v>
      </c>
      <c r="H33" s="22">
        <f>'Connectome without proofreading'!G172</f>
        <v>19304824.3</v>
      </c>
      <c r="I33" s="22">
        <f>'Connectome without proofreading'!H172</f>
        <v>23939685.88</v>
      </c>
    </row>
    <row r="34" ht="15.75" customHeight="1">
      <c r="A34" s="6" t="str">
        <f>'Connectome with proofreading'!A173</f>
        <v>Total $</v>
      </c>
      <c r="B34" s="21">
        <f>'Connectome with proofreading'!I173</f>
        <v>21486751632</v>
      </c>
      <c r="C34" s="21">
        <f>'Connectome with proofreading'!F173</f>
        <v>6453922610</v>
      </c>
      <c r="D34" s="21">
        <f>'Connectome with proofreading'!G173</f>
        <v>3579511815</v>
      </c>
      <c r="E34" s="21">
        <f>'Connectome with proofreading'!H173</f>
        <v>3591485613</v>
      </c>
      <c r="F34" s="21">
        <f>'Connectome without proofreading'!I173</f>
        <v>535876758.6</v>
      </c>
      <c r="G34" s="21">
        <f>'Connectome without proofreading'!F173</f>
        <v>215699094.4</v>
      </c>
      <c r="H34" s="21">
        <f>'Connectome without proofreading'!G173</f>
        <v>115828945.8</v>
      </c>
      <c r="I34" s="21">
        <f>'Connectome without proofreading'!H173</f>
        <v>143638115.3</v>
      </c>
    </row>
    <row r="35" ht="15.75" customHeight="1">
      <c r="A35" s="6" t="str">
        <f>'Connectome with proofreading'!A174</f>
        <v>Cost per Neuron</v>
      </c>
      <c r="B35" s="19">
        <f>'Connectome with proofreading'!I174</f>
        <v>306.9535947</v>
      </c>
      <c r="C35" s="19">
        <f>'Connectome with proofreading'!F174</f>
        <v>92.19889444</v>
      </c>
      <c r="D35" s="19">
        <f>'Connectome with proofreading'!G174</f>
        <v>51.13588307</v>
      </c>
      <c r="E35" s="19">
        <f>'Connectome with proofreading'!H174</f>
        <v>51.30693733</v>
      </c>
      <c r="F35" s="19">
        <f>'Connectome without proofreading'!I174</f>
        <v>7.655382265</v>
      </c>
      <c r="G35" s="19">
        <f>'Connectome without proofreading'!F174</f>
        <v>3.081415634</v>
      </c>
      <c r="H35" s="19">
        <f>'Connectome without proofreading'!G174</f>
        <v>1.654699226</v>
      </c>
      <c r="I35" s="19">
        <f>'Connectome without proofreading'!H174</f>
        <v>2.051973076</v>
      </c>
    </row>
    <row r="36" ht="15.75" customHeight="1">
      <c r="A36" s="20" t="str">
        <f>'Connectome with proofreading'!A175</f>
        <v>Marginal Connectome</v>
      </c>
      <c r="B36" s="6" t="str">
        <f>'Connectome with proofreading'!I175</f>
        <v/>
      </c>
      <c r="C36" s="6" t="str">
        <f>'Connectome with proofreading'!F175</f>
        <v/>
      </c>
      <c r="D36" s="6" t="str">
        <f>'Connectome with proofreading'!G175</f>
        <v/>
      </c>
      <c r="E36" s="6" t="str">
        <f>'Connectome with proofreading'!H175</f>
        <v/>
      </c>
      <c r="F36" s="6" t="str">
        <f>'Connectome without proofreading'!I175</f>
        <v/>
      </c>
      <c r="G36" s="6" t="str">
        <f>'Connectome without proofreading'!F175</f>
        <v/>
      </c>
      <c r="H36" s="6" t="str">
        <f>'Connectome without proofreading'!G175</f>
        <v/>
      </c>
      <c r="I36" s="6" t="str">
        <f>'Connectome without proofreading'!H175</f>
        <v/>
      </c>
    </row>
    <row r="37" ht="15.75" customHeight="1">
      <c r="A37" s="6" t="str">
        <f>'Connectome with proofreading'!A176</f>
        <v>Imaging $</v>
      </c>
      <c r="B37" s="21">
        <f>'Connectome with proofreading'!I176</f>
        <v>133015860.9</v>
      </c>
      <c r="C37" s="21">
        <f>'Connectome with proofreading'!F176</f>
        <v>54173731.09</v>
      </c>
      <c r="D37" s="21">
        <f>'Connectome with proofreading'!G176</f>
        <v>1616973.664</v>
      </c>
      <c r="E37" s="21">
        <f>'Connectome with proofreading'!H176</f>
        <v>11595181.26</v>
      </c>
      <c r="F37" s="21">
        <f>'Connectome without proofreading'!I176</f>
        <v>135809525.6</v>
      </c>
      <c r="G37" s="21">
        <f>'Connectome without proofreading'!F176</f>
        <v>54403398.72</v>
      </c>
      <c r="H37" s="21">
        <f>'Connectome without proofreading'!G176</f>
        <v>1620043.633</v>
      </c>
      <c r="I37" s="21">
        <f>'Connectome without proofreading'!H176</f>
        <v>12516171.99</v>
      </c>
    </row>
    <row r="38" ht="15.75" customHeight="1">
      <c r="A38" s="6" t="str">
        <f>'Connectome with proofreading'!A177</f>
        <v>Storage $</v>
      </c>
      <c r="B38" s="21">
        <f>'Connectome with proofreading'!I177</f>
        <v>4593750</v>
      </c>
      <c r="C38" s="21">
        <f>'Connectome with proofreading'!F177</f>
        <v>1361111.111</v>
      </c>
      <c r="D38" s="21">
        <f>'Connectome with proofreading'!G177</f>
        <v>752640</v>
      </c>
      <c r="E38" s="21">
        <f>'Connectome with proofreading'!H177</f>
        <v>752640</v>
      </c>
      <c r="F38" s="21">
        <f>'Connectome without proofreading'!I177</f>
        <v>5053125</v>
      </c>
      <c r="G38" s="21">
        <f>'Connectome without proofreading'!F177</f>
        <v>1497222.222</v>
      </c>
      <c r="H38" s="21">
        <f>'Connectome without proofreading'!G177</f>
        <v>827904</v>
      </c>
      <c r="I38" s="21">
        <f>'Connectome without proofreading'!H177</f>
        <v>827904</v>
      </c>
    </row>
    <row r="39" ht="15.75" customHeight="1">
      <c r="A39" s="6" t="str">
        <f>'Connectome with proofreading'!A178</f>
        <v>Processing $</v>
      </c>
      <c r="B39" s="21">
        <f>'Connectome with proofreading'!I178</f>
        <v>3579248.779</v>
      </c>
      <c r="C39" s="21">
        <f>'Connectome with proofreading'!F178</f>
        <v>613629.5144</v>
      </c>
      <c r="D39" s="21">
        <f>'Connectome with proofreading'!G178</f>
        <v>421138.6222</v>
      </c>
      <c r="E39" s="21">
        <f>'Connectome with proofreading'!H178</f>
        <v>421096.5693</v>
      </c>
      <c r="F39" s="21">
        <f>'Connectome without proofreading'!I178</f>
        <v>3895064.848</v>
      </c>
      <c r="G39" s="21">
        <f>'Connectome without proofreading'!F178</f>
        <v>632883.6567</v>
      </c>
      <c r="H39" s="21">
        <f>'Connectome without proofreading'!G178</f>
        <v>421143.6753</v>
      </c>
      <c r="I39" s="21">
        <f>'Connectome without proofreading'!H178</f>
        <v>421097.417</v>
      </c>
    </row>
    <row r="40" ht="15.75" customHeight="1">
      <c r="A40" s="6" t="str">
        <f>'Connectome with proofreading'!A179</f>
        <v>Proofreading $</v>
      </c>
      <c r="B40" s="21">
        <f>'Connectome with proofreading'!I179</f>
        <v>17500000000</v>
      </c>
      <c r="C40" s="21">
        <f>'Connectome with proofreading'!F179</f>
        <v>5185185185</v>
      </c>
      <c r="D40" s="21">
        <f>'Connectome with proofreading'!G179</f>
        <v>2867200000</v>
      </c>
      <c r="E40" s="21">
        <f>'Connectome with proofreading'!H179</f>
        <v>2867200000</v>
      </c>
      <c r="F40" s="21">
        <f>'Connectome without proofreading'!I179</f>
        <v>19250000</v>
      </c>
      <c r="G40" s="21">
        <f>'Connectome without proofreading'!F179</f>
        <v>5703703.704</v>
      </c>
      <c r="H40" s="21">
        <f>'Connectome without proofreading'!G179</f>
        <v>3153920</v>
      </c>
      <c r="I40" s="21">
        <f>'Connectome without proofreading'!H179</f>
        <v>3153920</v>
      </c>
    </row>
    <row r="41" ht="15.75" customHeight="1">
      <c r="A41" s="6" t="str">
        <f>'Connectome with proofreading'!A180</f>
        <v>Personnel $</v>
      </c>
      <c r="B41" s="21">
        <f>'Connectome with proofreading'!I180</f>
        <v>26250000</v>
      </c>
      <c r="C41" s="21">
        <f>'Connectome with proofreading'!F180</f>
        <v>26250000</v>
      </c>
      <c r="D41" s="21">
        <f>'Connectome with proofreading'!G180</f>
        <v>26250000</v>
      </c>
      <c r="E41" s="21">
        <f>'Connectome with proofreading'!H180</f>
        <v>26250000</v>
      </c>
      <c r="F41" s="21">
        <f>'Connectome without proofreading'!I180</f>
        <v>26250000</v>
      </c>
      <c r="G41" s="21">
        <f>'Connectome without proofreading'!F180</f>
        <v>1458333.333</v>
      </c>
      <c r="H41" s="21">
        <f>'Connectome without proofreading'!G180</f>
        <v>846774.1935</v>
      </c>
      <c r="I41" s="21">
        <f>'Connectome without proofreading'!H180</f>
        <v>13125000</v>
      </c>
    </row>
    <row r="42" ht="15.75" customHeight="1">
      <c r="A42" s="6" t="str">
        <f>'Connectome with proofreading'!A181</f>
        <v>Buffer $</v>
      </c>
      <c r="B42" s="22">
        <f>'Connectome with proofreading'!I181</f>
        <v>883371943</v>
      </c>
      <c r="C42" s="22">
        <f>'Connectome with proofreading'!F181</f>
        <v>263379182.8</v>
      </c>
      <c r="D42" s="22">
        <f>'Connectome with proofreading'!G181</f>
        <v>144812037.6</v>
      </c>
      <c r="E42" s="22">
        <f>'Connectome with proofreading'!H181</f>
        <v>145310945.9</v>
      </c>
      <c r="F42" s="22">
        <f>'Connectome without proofreading'!I181</f>
        <v>9512885.773</v>
      </c>
      <c r="G42" s="22">
        <f>'Connectome without proofreading'!F181</f>
        <v>3184777.082</v>
      </c>
      <c r="H42" s="22">
        <f>'Connectome without proofreading'!G181</f>
        <v>343489.2751</v>
      </c>
      <c r="I42" s="22">
        <f>'Connectome without proofreading'!H181</f>
        <v>1502204.671</v>
      </c>
    </row>
    <row r="43" ht="15.75" customHeight="1">
      <c r="A43" s="6" t="str">
        <f>'Connectome with proofreading'!A182</f>
        <v>Total $</v>
      </c>
      <c r="B43" s="21">
        <f>'Connectome with proofreading'!I182</f>
        <v>18550810803</v>
      </c>
      <c r="C43" s="21">
        <f>'Connectome with proofreading'!F182</f>
        <v>5530962840</v>
      </c>
      <c r="D43" s="21">
        <f>'Connectome with proofreading'!G182</f>
        <v>3041052790</v>
      </c>
      <c r="E43" s="21">
        <f>'Connectome with proofreading'!H182</f>
        <v>3051529864</v>
      </c>
      <c r="F43" s="21">
        <f>'Connectome without proofreading'!I182</f>
        <v>199770601.2</v>
      </c>
      <c r="G43" s="21">
        <f>'Connectome without proofreading'!F182</f>
        <v>66880318.71</v>
      </c>
      <c r="H43" s="21">
        <f>'Connectome without proofreading'!G182</f>
        <v>7213274.777</v>
      </c>
      <c r="I43" s="21">
        <f>'Connectome without proofreading'!H182</f>
        <v>31546298.08</v>
      </c>
    </row>
    <row r="44" ht="15.75" customHeight="1">
      <c r="A44" s="6" t="str">
        <f>'Connectome with proofreading'!A183</f>
        <v>Cost per neuron</v>
      </c>
      <c r="B44" s="19">
        <f>'Connectome with proofreading'!I183</f>
        <v>265.0115829</v>
      </c>
      <c r="C44" s="19">
        <f>'Connectome with proofreading'!F183</f>
        <v>79.01375485</v>
      </c>
      <c r="D44" s="19">
        <f>'Connectome with proofreading'!G183</f>
        <v>43.44361128</v>
      </c>
      <c r="E44" s="19">
        <f>'Connectome with proofreading'!H183</f>
        <v>43.59328377</v>
      </c>
      <c r="F44" s="19">
        <f>'Connectome without proofreading'!I183</f>
        <v>2.853865732</v>
      </c>
      <c r="G44" s="19">
        <f>'Connectome without proofreading'!F183</f>
        <v>0.9554331245</v>
      </c>
      <c r="H44" s="19">
        <f>'Connectome without proofreading'!G183</f>
        <v>0.1030467825</v>
      </c>
      <c r="I44" s="19">
        <f>'Connectome without proofreading'!H183</f>
        <v>0.4506614012</v>
      </c>
    </row>
    <row r="45" ht="15.75" customHeight="1">
      <c r="A45" s="23" t="s">
        <v>10</v>
      </c>
      <c r="C45" s="24">
        <f t="shared" ref="C45:I45" si="1">C43/500</f>
        <v>11061925.68</v>
      </c>
      <c r="D45" s="24">
        <f t="shared" si="1"/>
        <v>6082105.58</v>
      </c>
      <c r="E45" s="24">
        <f t="shared" si="1"/>
        <v>6103059.727</v>
      </c>
      <c r="F45" s="24">
        <f t="shared" si="1"/>
        <v>399541.2025</v>
      </c>
      <c r="G45" s="24">
        <f t="shared" si="1"/>
        <v>133760.6374</v>
      </c>
      <c r="H45" s="24">
        <f t="shared" si="1"/>
        <v>14426.54955</v>
      </c>
      <c r="I45" s="24">
        <f t="shared" si="1"/>
        <v>63092.59616</v>
      </c>
    </row>
    <row r="46" ht="15.75" customHeight="1">
      <c r="A46" s="6" t="str">
        <f>'Connectome with proofreading'!A185</f>
        <v/>
      </c>
    </row>
    <row r="47" ht="15.75" customHeight="1"/>
    <row r="48" ht="15.75" customHeight="1">
      <c r="A48" s="23" t="s">
        <v>11</v>
      </c>
      <c r="B48" s="22">
        <f t="shared" ref="B48:I48" si="2">B25*B10</f>
        <v>21486751632</v>
      </c>
      <c r="C48" s="22">
        <f t="shared" si="2"/>
        <v>6453922610</v>
      </c>
      <c r="D48" s="22">
        <f t="shared" si="2"/>
        <v>3579511815</v>
      </c>
      <c r="E48" s="22">
        <f t="shared" si="2"/>
        <v>3591485613</v>
      </c>
      <c r="F48" s="22">
        <f t="shared" si="2"/>
        <v>535876758.6</v>
      </c>
      <c r="G48" s="22">
        <f t="shared" si="2"/>
        <v>1352664513</v>
      </c>
      <c r="H48" s="22">
        <f t="shared" si="2"/>
        <v>332227189.1</v>
      </c>
      <c r="I48" s="22">
        <f t="shared" si="2"/>
        <v>175184413.4</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sheetData>
  <mergeCells count="13">
    <mergeCell ref="B5:E5"/>
    <mergeCell ref="B6:E6"/>
    <mergeCell ref="J6:M6"/>
    <mergeCell ref="F6:I6"/>
    <mergeCell ref="B7:E7"/>
    <mergeCell ref="F7:I7"/>
    <mergeCell ref="B2:E2"/>
    <mergeCell ref="F2:I2"/>
    <mergeCell ref="B3:E3"/>
    <mergeCell ref="F3:I3"/>
    <mergeCell ref="B4:E4"/>
    <mergeCell ref="F4:I4"/>
    <mergeCell ref="F5:I5"/>
  </mergeCells>
  <conditionalFormatting sqref="B3:F6 H3:I6 J6 L6:M6">
    <cfRule type="expression" dxfId="0" priority="1">
      <formula>AND(ISFORMULA(B3), REGEXMATCH(FORMULATEXT(B3), "GlobalVariables!"))</formula>
    </cfRule>
  </conditionalFormatting>
  <conditionalFormatting sqref="B3:F6 H3:I6 J6 L6:M6">
    <cfRule type="expression" dxfId="1" priority="2">
      <formula>ISFORMULA(B3)</formula>
    </cfRule>
  </conditionalFormatting>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71"/>
    <col customWidth="1" min="2" max="2" width="56.0"/>
    <col customWidth="1" min="3" max="3" width="12.0"/>
    <col customWidth="1" min="4" max="4" width="38.57"/>
    <col customWidth="1" min="5" max="5" width="44.43"/>
  </cols>
  <sheetData>
    <row r="1">
      <c r="A1" s="25" t="s">
        <v>12</v>
      </c>
      <c r="B1" s="26" t="s">
        <v>13</v>
      </c>
      <c r="C1" s="25" t="s">
        <v>14</v>
      </c>
      <c r="D1" s="14" t="s">
        <v>15</v>
      </c>
      <c r="E1" s="27" t="s">
        <v>16</v>
      </c>
    </row>
    <row r="2">
      <c r="A2" s="28" t="s">
        <v>17</v>
      </c>
      <c r="B2" s="29"/>
      <c r="D2" s="29"/>
    </row>
    <row r="3">
      <c r="A3" s="28" t="s">
        <v>18</v>
      </c>
      <c r="B3" s="29"/>
      <c r="D3" s="29"/>
    </row>
    <row r="4">
      <c r="A4" s="6" t="s">
        <v>19</v>
      </c>
      <c r="C4" s="23" t="s">
        <v>20</v>
      </c>
      <c r="D4" s="29"/>
      <c r="E4" s="30" t="s">
        <v>21</v>
      </c>
    </row>
    <row r="5">
      <c r="A5" s="6" t="s">
        <v>22</v>
      </c>
      <c r="C5" s="23" t="s">
        <v>20</v>
      </c>
      <c r="D5" s="29"/>
      <c r="E5" s="30" t="s">
        <v>23</v>
      </c>
    </row>
    <row r="6">
      <c r="A6" s="23" t="s">
        <v>24</v>
      </c>
      <c r="B6" s="29" t="s">
        <v>25</v>
      </c>
      <c r="C6" s="6" t="s">
        <v>26</v>
      </c>
      <c r="D6" s="30" t="s">
        <v>27</v>
      </c>
      <c r="E6" s="31">
        <v>0.2</v>
      </c>
    </row>
    <row r="7">
      <c r="A7" s="23" t="s">
        <v>28</v>
      </c>
      <c r="B7" s="29" t="s">
        <v>25</v>
      </c>
      <c r="C7" s="6" t="s">
        <v>26</v>
      </c>
      <c r="D7" s="30" t="s">
        <v>27</v>
      </c>
      <c r="E7" s="31">
        <v>0.05</v>
      </c>
    </row>
    <row r="8">
      <c r="A8" s="6" t="s">
        <v>29</v>
      </c>
      <c r="B8" s="29" t="s">
        <v>30</v>
      </c>
      <c r="C8" s="6" t="s">
        <v>31</v>
      </c>
      <c r="D8" s="32" t="s">
        <v>32</v>
      </c>
      <c r="E8" s="33">
        <v>500.0</v>
      </c>
    </row>
    <row r="9">
      <c r="A9" s="23" t="s">
        <v>33</v>
      </c>
      <c r="B9" s="30" t="s">
        <v>34</v>
      </c>
      <c r="C9" s="23" t="s">
        <v>35</v>
      </c>
      <c r="D9" s="32" t="s">
        <v>36</v>
      </c>
      <c r="E9" s="34">
        <v>7.0E7</v>
      </c>
    </row>
    <row r="10">
      <c r="A10" s="28" t="s">
        <v>37</v>
      </c>
      <c r="B10" s="29"/>
      <c r="D10" s="35"/>
      <c r="E10" s="33"/>
    </row>
    <row r="11">
      <c r="A11" s="23" t="s">
        <v>38</v>
      </c>
      <c r="B11" s="30" t="s">
        <v>39</v>
      </c>
      <c r="C11" s="23" t="s">
        <v>40</v>
      </c>
      <c r="D11" s="36" t="s">
        <v>41</v>
      </c>
      <c r="E11" s="23">
        <v>0.0</v>
      </c>
    </row>
    <row r="12">
      <c r="A12" s="23" t="s">
        <v>42</v>
      </c>
      <c r="B12" s="30" t="s">
        <v>43</v>
      </c>
      <c r="C12" s="23" t="s">
        <v>40</v>
      </c>
      <c r="D12" s="36" t="s">
        <v>41</v>
      </c>
      <c r="E12" s="23">
        <v>5.0</v>
      </c>
    </row>
    <row r="13">
      <c r="A13" s="23" t="s">
        <v>44</v>
      </c>
      <c r="B13" s="30" t="s">
        <v>45</v>
      </c>
      <c r="C13" s="23" t="s">
        <v>46</v>
      </c>
      <c r="D13" s="36" t="s">
        <v>41</v>
      </c>
      <c r="E13" s="37">
        <v>5.0E7</v>
      </c>
    </row>
    <row r="14">
      <c r="A14" s="23" t="s">
        <v>47</v>
      </c>
      <c r="B14" s="29" t="s">
        <v>48</v>
      </c>
      <c r="C14" s="6" t="s">
        <v>35</v>
      </c>
      <c r="D14" s="36" t="s">
        <v>41</v>
      </c>
      <c r="E14" s="33">
        <v>1000.0</v>
      </c>
    </row>
    <row r="15">
      <c r="A15" s="23" t="s">
        <v>49</v>
      </c>
      <c r="B15" s="30" t="s">
        <v>50</v>
      </c>
      <c r="C15" s="6" t="s">
        <v>46</v>
      </c>
      <c r="D15" s="36" t="s">
        <v>41</v>
      </c>
      <c r="E15" s="38">
        <v>2000000.0</v>
      </c>
    </row>
    <row r="16">
      <c r="A16" s="23" t="s">
        <v>51</v>
      </c>
      <c r="B16" s="30" t="s">
        <v>52</v>
      </c>
      <c r="C16" s="23" t="s">
        <v>53</v>
      </c>
      <c r="D16" s="36" t="s">
        <v>41</v>
      </c>
      <c r="E16" s="38">
        <v>150000.0</v>
      </c>
    </row>
    <row r="17">
      <c r="A17" s="23" t="s">
        <v>54</v>
      </c>
      <c r="B17" s="30" t="s">
        <v>55</v>
      </c>
      <c r="C17" s="23" t="s">
        <v>56</v>
      </c>
      <c r="D17" s="36" t="s">
        <v>41</v>
      </c>
      <c r="E17" s="39">
        <v>10.0</v>
      </c>
    </row>
    <row r="18">
      <c r="A18" s="23" t="s">
        <v>57</v>
      </c>
      <c r="B18" s="30" t="s">
        <v>58</v>
      </c>
      <c r="C18" s="23" t="s">
        <v>56</v>
      </c>
      <c r="D18" s="36" t="s">
        <v>41</v>
      </c>
      <c r="E18" s="39">
        <v>15.0</v>
      </c>
    </row>
    <row r="19">
      <c r="A19" s="23" t="s">
        <v>59</v>
      </c>
      <c r="B19" s="30" t="s">
        <v>60</v>
      </c>
      <c r="C19" s="23" t="s">
        <v>56</v>
      </c>
      <c r="D19" s="36" t="s">
        <v>41</v>
      </c>
      <c r="E19" s="39">
        <v>10.0</v>
      </c>
    </row>
    <row r="20">
      <c r="A20" s="23" t="s">
        <v>61</v>
      </c>
      <c r="B20" s="29" t="s">
        <v>62</v>
      </c>
      <c r="C20" s="6" t="s">
        <v>63</v>
      </c>
      <c r="D20" s="40" t="s">
        <v>64</v>
      </c>
      <c r="E20" s="38">
        <v>250000.0</v>
      </c>
    </row>
    <row r="21">
      <c r="A21" s="23" t="s">
        <v>65</v>
      </c>
      <c r="B21" s="30" t="s">
        <v>66</v>
      </c>
      <c r="C21" s="23" t="s">
        <v>46</v>
      </c>
      <c r="D21" s="40" t="s">
        <v>67</v>
      </c>
      <c r="E21" s="21">
        <f>E15*E12</f>
        <v>10000000</v>
      </c>
    </row>
    <row r="22">
      <c r="A22" s="6" t="s">
        <v>68</v>
      </c>
      <c r="B22" s="29" t="s">
        <v>69</v>
      </c>
      <c r="C22" s="6" t="s">
        <v>46</v>
      </c>
      <c r="D22" s="40" t="s">
        <v>67</v>
      </c>
      <c r="E22" s="21">
        <f>E13+E15*E12/2</f>
        <v>55000000</v>
      </c>
    </row>
    <row r="23">
      <c r="A23" s="23" t="s">
        <v>70</v>
      </c>
      <c r="B23" s="30" t="s">
        <v>71</v>
      </c>
      <c r="C23" s="6" t="s">
        <v>46</v>
      </c>
      <c r="D23" s="36" t="s">
        <v>72</v>
      </c>
      <c r="E23" s="38">
        <v>2000000.0</v>
      </c>
    </row>
    <row r="24">
      <c r="A24" s="28" t="s">
        <v>73</v>
      </c>
      <c r="B24" s="29"/>
      <c r="D24" s="30"/>
      <c r="E24" s="31"/>
    </row>
    <row r="25">
      <c r="A25" s="23" t="s">
        <v>74</v>
      </c>
      <c r="B25" s="30" t="s">
        <v>75</v>
      </c>
      <c r="C25" s="23" t="s">
        <v>76</v>
      </c>
      <c r="D25" s="32" t="s">
        <v>77</v>
      </c>
      <c r="E25" s="41">
        <v>1979.0</v>
      </c>
    </row>
    <row r="26">
      <c r="A26" s="23" t="s">
        <v>78</v>
      </c>
      <c r="B26" s="30" t="s">
        <v>79</v>
      </c>
      <c r="C26" s="23" t="s">
        <v>26</v>
      </c>
      <c r="D26" s="32" t="s">
        <v>80</v>
      </c>
      <c r="E26" s="31">
        <v>0.8</v>
      </c>
    </row>
    <row r="27">
      <c r="A27" s="23" t="s">
        <v>81</v>
      </c>
      <c r="B27" s="30" t="s">
        <v>82</v>
      </c>
      <c r="C27" s="23" t="s">
        <v>83</v>
      </c>
      <c r="D27" s="30" t="s">
        <v>84</v>
      </c>
      <c r="E27" s="42">
        <v>2.0</v>
      </c>
    </row>
    <row r="28">
      <c r="A28" s="23" t="s">
        <v>85</v>
      </c>
      <c r="B28" s="23" t="s">
        <v>85</v>
      </c>
      <c r="C28" s="23" t="s">
        <v>26</v>
      </c>
      <c r="D28" s="30" t="s">
        <v>86</v>
      </c>
      <c r="E28" s="31">
        <v>0.1</v>
      </c>
    </row>
    <row r="29">
      <c r="A29" s="23" t="s">
        <v>87</v>
      </c>
      <c r="B29" s="23" t="s">
        <v>87</v>
      </c>
      <c r="C29" s="23" t="s">
        <v>26</v>
      </c>
      <c r="D29" s="30" t="s">
        <v>86</v>
      </c>
      <c r="E29" s="31">
        <v>0.05</v>
      </c>
    </row>
    <row r="30">
      <c r="A30" s="23" t="s">
        <v>88</v>
      </c>
      <c r="B30" s="30" t="s">
        <v>89</v>
      </c>
      <c r="C30" s="23" t="s">
        <v>90</v>
      </c>
      <c r="D30" s="36" t="s">
        <v>91</v>
      </c>
      <c r="E30" s="21">
        <f>21000/8</f>
        <v>2625</v>
      </c>
    </row>
    <row r="31">
      <c r="A31" s="23" t="s">
        <v>92</v>
      </c>
      <c r="B31" s="30" t="s">
        <v>93</v>
      </c>
      <c r="C31" s="23" t="s">
        <v>90</v>
      </c>
      <c r="D31" s="36" t="s">
        <v>94</v>
      </c>
      <c r="E31" s="38">
        <f>4000/2</f>
        <v>2000</v>
      </c>
    </row>
    <row r="32">
      <c r="A32" s="23" t="s">
        <v>95</v>
      </c>
      <c r="B32" s="29"/>
      <c r="D32" s="43" t="s">
        <v>96</v>
      </c>
      <c r="E32" s="34">
        <v>1.0</v>
      </c>
    </row>
    <row r="33">
      <c r="A33" s="6" t="s">
        <v>97</v>
      </c>
      <c r="B33" s="29" t="s">
        <v>98</v>
      </c>
      <c r="C33" s="6" t="s">
        <v>99</v>
      </c>
      <c r="D33" s="32" t="s">
        <v>100</v>
      </c>
      <c r="E33" s="44">
        <v>1.5</v>
      </c>
    </row>
    <row r="34">
      <c r="A34" s="6" t="s">
        <v>101</v>
      </c>
      <c r="B34" s="29" t="s">
        <v>102</v>
      </c>
      <c r="C34" s="6" t="s">
        <v>99</v>
      </c>
      <c r="D34" s="32" t="s">
        <v>103</v>
      </c>
      <c r="E34" s="44">
        <v>120.0</v>
      </c>
    </row>
    <row r="35">
      <c r="A35" s="23" t="s">
        <v>104</v>
      </c>
      <c r="B35" s="30" t="s">
        <v>105</v>
      </c>
      <c r="C35" s="23" t="s">
        <v>106</v>
      </c>
      <c r="D35" s="32" t="s">
        <v>107</v>
      </c>
      <c r="E35" s="31">
        <v>0.05</v>
      </c>
    </row>
    <row r="36">
      <c r="A36" s="23" t="s">
        <v>108</v>
      </c>
      <c r="B36" s="30" t="s">
        <v>109</v>
      </c>
      <c r="C36" s="6" t="s">
        <v>35</v>
      </c>
      <c r="D36" s="36" t="s">
        <v>41</v>
      </c>
      <c r="E36" s="44">
        <v>3.0</v>
      </c>
    </row>
    <row r="37">
      <c r="A37" s="23" t="s">
        <v>110</v>
      </c>
      <c r="B37" s="30" t="s">
        <v>111</v>
      </c>
      <c r="C37" s="6" t="s">
        <v>35</v>
      </c>
      <c r="D37" s="36" t="s">
        <v>41</v>
      </c>
      <c r="E37" s="44">
        <v>2.0</v>
      </c>
    </row>
    <row r="38">
      <c r="A38" s="23" t="s">
        <v>112</v>
      </c>
      <c r="B38" s="30" t="s">
        <v>113</v>
      </c>
      <c r="C38" s="6" t="s">
        <v>35</v>
      </c>
      <c r="D38" s="36" t="s">
        <v>41</v>
      </c>
      <c r="E38" s="44">
        <v>1.0</v>
      </c>
    </row>
    <row r="39">
      <c r="A39" s="23" t="s">
        <v>114</v>
      </c>
      <c r="B39" s="30" t="s">
        <v>115</v>
      </c>
      <c r="C39" s="6" t="s">
        <v>35</v>
      </c>
      <c r="D39" s="36" t="s">
        <v>41</v>
      </c>
      <c r="E39" s="44">
        <v>0.0</v>
      </c>
    </row>
    <row r="40">
      <c r="A40" s="6" t="s">
        <v>116</v>
      </c>
      <c r="B40" s="6" t="s">
        <v>117</v>
      </c>
      <c r="C40" s="6" t="s">
        <v>118</v>
      </c>
      <c r="D40" s="36" t="s">
        <v>41</v>
      </c>
      <c r="E40" s="44">
        <v>5.0</v>
      </c>
    </row>
    <row r="41">
      <c r="A41" s="6" t="s">
        <v>119</v>
      </c>
      <c r="B41" s="6" t="s">
        <v>120</v>
      </c>
      <c r="C41" s="6" t="s">
        <v>118</v>
      </c>
      <c r="D41" s="36" t="s">
        <v>41</v>
      </c>
      <c r="E41" s="44">
        <v>10.0</v>
      </c>
    </row>
    <row r="42">
      <c r="A42" s="23" t="s">
        <v>121</v>
      </c>
      <c r="B42" s="30" t="s">
        <v>122</v>
      </c>
      <c r="C42" s="23" t="s">
        <v>76</v>
      </c>
      <c r="D42" s="32" t="s">
        <v>67</v>
      </c>
      <c r="E42" s="45">
        <f>E25*E26</f>
        <v>1583.2</v>
      </c>
    </row>
    <row r="43">
      <c r="A43" s="23" t="s">
        <v>123</v>
      </c>
      <c r="B43" s="30" t="s">
        <v>124</v>
      </c>
      <c r="C43" s="23" t="s">
        <v>83</v>
      </c>
      <c r="D43" s="32" t="s">
        <v>67</v>
      </c>
      <c r="E43" s="42">
        <f>E27*(1-E28)^E11</f>
        <v>2</v>
      </c>
    </row>
    <row r="44">
      <c r="A44" s="23" t="s">
        <v>125</v>
      </c>
      <c r="B44" s="29" t="s">
        <v>126</v>
      </c>
      <c r="C44" s="6" t="s">
        <v>127</v>
      </c>
      <c r="D44" s="32" t="s">
        <v>67</v>
      </c>
      <c r="E44" s="38">
        <f>E30*12*(1-E29)^E11</f>
        <v>31500</v>
      </c>
    </row>
    <row r="45">
      <c r="A45" s="23" t="s">
        <v>128</v>
      </c>
      <c r="B45" s="29" t="s">
        <v>129</v>
      </c>
      <c r="C45" s="6" t="s">
        <v>127</v>
      </c>
      <c r="D45" s="32" t="s">
        <v>67</v>
      </c>
      <c r="E45" s="38">
        <f>E31*12*(1-E29)^E11</f>
        <v>24000</v>
      </c>
    </row>
    <row r="46">
      <c r="A46" s="28" t="s">
        <v>130</v>
      </c>
      <c r="B46" s="29"/>
      <c r="D46" s="29"/>
    </row>
    <row r="47">
      <c r="A47" s="23" t="s">
        <v>131</v>
      </c>
      <c r="B47" s="30" t="s">
        <v>132</v>
      </c>
      <c r="C47" s="23" t="s">
        <v>133</v>
      </c>
      <c r="D47" s="46" t="s">
        <v>134</v>
      </c>
      <c r="E47" s="47">
        <v>450.0</v>
      </c>
    </row>
    <row r="48">
      <c r="A48" s="23" t="s">
        <v>135</v>
      </c>
      <c r="B48" s="30" t="s">
        <v>136</v>
      </c>
      <c r="C48" s="23" t="s">
        <v>137</v>
      </c>
      <c r="D48" s="48" t="s">
        <v>138</v>
      </c>
      <c r="E48" s="49">
        <v>2.4E-6</v>
      </c>
    </row>
    <row r="49">
      <c r="A49" s="50"/>
      <c r="D49" s="51"/>
      <c r="E49" s="51"/>
    </row>
    <row r="50">
      <c r="D50" s="52"/>
      <c r="E50" s="51"/>
    </row>
    <row r="51">
      <c r="B51" s="50"/>
      <c r="D51" s="21"/>
      <c r="E51" s="21"/>
    </row>
    <row r="52">
      <c r="B52" s="50"/>
      <c r="D52" s="21"/>
      <c r="E52" s="21"/>
    </row>
    <row r="53">
      <c r="B53" s="50"/>
      <c r="D53" s="21"/>
      <c r="E53" s="21"/>
    </row>
    <row r="54">
      <c r="D54" s="52"/>
      <c r="E54" s="51"/>
    </row>
    <row r="55">
      <c r="D55" s="52"/>
      <c r="E55" s="51"/>
    </row>
    <row r="56">
      <c r="D56" s="52"/>
      <c r="E56" s="51"/>
    </row>
    <row r="57">
      <c r="B57" s="50"/>
      <c r="D57" s="52"/>
      <c r="E57" s="51"/>
    </row>
    <row r="58">
      <c r="D58" s="52"/>
      <c r="E58" s="51"/>
    </row>
    <row r="59">
      <c r="D59" s="52"/>
      <c r="E59" s="51"/>
    </row>
    <row r="60">
      <c r="D60" s="53"/>
      <c r="E60" s="53"/>
    </row>
    <row r="61">
      <c r="D61" s="52"/>
      <c r="E61" s="51"/>
    </row>
    <row r="62">
      <c r="D62" s="52"/>
      <c r="E62" s="51"/>
    </row>
    <row r="63">
      <c r="D63" s="52"/>
      <c r="E63" s="51"/>
    </row>
    <row r="67">
      <c r="D67" s="52"/>
      <c r="E67" s="51"/>
    </row>
    <row r="68">
      <c r="D68" s="52"/>
      <c r="E68" s="54"/>
    </row>
    <row r="69">
      <c r="D69" s="55"/>
      <c r="E69" s="55"/>
    </row>
    <row r="70">
      <c r="D70" s="52"/>
      <c r="E70" s="56"/>
    </row>
    <row r="71">
      <c r="D71" s="52"/>
      <c r="E71" s="57"/>
    </row>
    <row r="72">
      <c r="D72" s="52"/>
      <c r="E72" s="51"/>
    </row>
    <row r="73">
      <c r="D73" s="52"/>
      <c r="E73" s="51"/>
    </row>
    <row r="74">
      <c r="B74" s="50"/>
      <c r="D74" s="21"/>
      <c r="E74" s="21"/>
    </row>
    <row r="75">
      <c r="A75" s="50"/>
    </row>
    <row r="76">
      <c r="D76" s="55"/>
      <c r="E76" s="55"/>
    </row>
    <row r="77">
      <c r="D77" s="52"/>
      <c r="E77" s="57"/>
    </row>
    <row r="78">
      <c r="D78" s="52"/>
      <c r="E78" s="57"/>
    </row>
    <row r="79">
      <c r="B79" s="50"/>
      <c r="D79" s="52"/>
      <c r="E79" s="53"/>
    </row>
    <row r="80">
      <c r="B80" s="50"/>
      <c r="D80" s="21"/>
      <c r="E80" s="57"/>
    </row>
    <row r="81">
      <c r="B81" s="50"/>
      <c r="D81" s="21"/>
      <c r="E81" s="57"/>
    </row>
    <row r="82">
      <c r="B82" s="50"/>
      <c r="D82" s="21"/>
      <c r="E82" s="57"/>
    </row>
    <row r="83">
      <c r="B83" s="50"/>
      <c r="D83" s="21"/>
      <c r="E83" s="57"/>
    </row>
    <row r="84">
      <c r="D84" s="21"/>
      <c r="E84" s="57"/>
    </row>
    <row r="85">
      <c r="D85" s="21"/>
      <c r="E85" s="57"/>
    </row>
    <row r="86">
      <c r="D86" s="55"/>
      <c r="E86" s="55"/>
    </row>
    <row r="87">
      <c r="D87" s="52"/>
      <c r="E87" s="56"/>
    </row>
    <row r="88">
      <c r="D88" s="52"/>
      <c r="E88" s="54"/>
    </row>
    <row r="89">
      <c r="D89" s="52"/>
      <c r="E89" s="52"/>
    </row>
    <row r="90">
      <c r="D90" s="52"/>
      <c r="E90" s="52"/>
    </row>
    <row r="91">
      <c r="A91" s="50"/>
    </row>
    <row r="92">
      <c r="B92" s="50"/>
      <c r="D92" s="52"/>
      <c r="E92" s="58"/>
    </row>
    <row r="93">
      <c r="B93" s="50"/>
      <c r="D93" s="52"/>
      <c r="E93" s="59"/>
    </row>
    <row r="94">
      <c r="D94" s="21"/>
      <c r="E94" s="21"/>
    </row>
    <row r="95">
      <c r="B95" s="50"/>
      <c r="D95" s="52"/>
      <c r="E95" s="59"/>
    </row>
    <row r="96">
      <c r="B96" s="50"/>
      <c r="D96" s="52"/>
      <c r="E96" s="52"/>
    </row>
    <row r="97">
      <c r="B97" s="50"/>
      <c r="D97" s="21"/>
      <c r="E97" s="21"/>
    </row>
    <row r="98">
      <c r="D98" s="21"/>
      <c r="E98" s="21"/>
    </row>
    <row r="99">
      <c r="D99" s="21"/>
      <c r="E99" s="21"/>
    </row>
    <row r="100">
      <c r="A100" s="50"/>
    </row>
    <row r="101">
      <c r="D101" s="57"/>
      <c r="E101" s="57"/>
    </row>
    <row r="102">
      <c r="D102" s="57"/>
      <c r="E102" s="57"/>
    </row>
    <row r="103">
      <c r="D103" s="57"/>
      <c r="E103" s="57"/>
    </row>
    <row r="104">
      <c r="D104" s="57"/>
      <c r="E104" s="57"/>
    </row>
    <row r="105">
      <c r="D105" s="57"/>
      <c r="E105" s="57"/>
    </row>
    <row r="106">
      <c r="D106" s="57"/>
      <c r="E106" s="57"/>
    </row>
    <row r="107">
      <c r="B107" s="50"/>
      <c r="D107" s="57"/>
      <c r="E107" s="57"/>
    </row>
    <row r="108">
      <c r="B108" s="50"/>
      <c r="D108" s="57"/>
      <c r="E108" s="57"/>
    </row>
    <row r="109">
      <c r="A109" s="60"/>
    </row>
    <row r="110">
      <c r="B110" s="50"/>
      <c r="D110" s="21"/>
      <c r="E110" s="21"/>
    </row>
    <row r="111">
      <c r="B111" s="50"/>
      <c r="D111" s="21"/>
      <c r="E111" s="21"/>
    </row>
    <row r="112">
      <c r="B112" s="50"/>
      <c r="D112" s="21"/>
      <c r="E112" s="21"/>
    </row>
    <row r="113">
      <c r="D113" s="21"/>
      <c r="E113" s="21"/>
    </row>
    <row r="114">
      <c r="A114" s="50"/>
    </row>
    <row r="115">
      <c r="D115" s="21"/>
      <c r="E115" s="21"/>
    </row>
    <row r="116">
      <c r="D116" s="21"/>
      <c r="E116" s="21"/>
    </row>
    <row r="117">
      <c r="D117" s="21"/>
      <c r="E117" s="21"/>
    </row>
    <row r="118">
      <c r="D118" s="21"/>
      <c r="E118" s="21"/>
    </row>
    <row r="119">
      <c r="D119" s="21"/>
      <c r="E119" s="21"/>
    </row>
    <row r="120">
      <c r="D120" s="21"/>
      <c r="E120" s="21"/>
    </row>
    <row r="121">
      <c r="D121" s="21"/>
      <c r="E121" s="21"/>
    </row>
    <row r="122">
      <c r="D122" s="21"/>
      <c r="E122" s="21"/>
    </row>
    <row r="123">
      <c r="D123" s="21"/>
      <c r="E123" s="21"/>
    </row>
    <row r="124">
      <c r="D124" s="21"/>
      <c r="E124" s="21"/>
    </row>
    <row r="125">
      <c r="D125" s="21"/>
      <c r="E125" s="21"/>
    </row>
    <row r="126">
      <c r="D126" s="21"/>
      <c r="E126" s="21"/>
    </row>
    <row r="127">
      <c r="D127" s="21"/>
      <c r="E127" s="21"/>
    </row>
    <row r="128">
      <c r="D128" s="21"/>
      <c r="E128" s="21"/>
    </row>
    <row r="129">
      <c r="D129" s="21"/>
      <c r="E129" s="21"/>
    </row>
    <row r="130">
      <c r="D130" s="21"/>
      <c r="E130" s="21"/>
    </row>
    <row r="131">
      <c r="A131" s="50"/>
      <c r="C131" s="50"/>
      <c r="E131" s="54"/>
    </row>
    <row r="135">
      <c r="A135" s="50"/>
      <c r="C135" s="50"/>
      <c r="E135" s="54"/>
    </row>
    <row r="136">
      <c r="E136" s="54"/>
    </row>
    <row r="137">
      <c r="E137" s="54"/>
    </row>
    <row r="138">
      <c r="E138" s="54"/>
    </row>
    <row r="139">
      <c r="E139" s="54"/>
    </row>
    <row r="142">
      <c r="A142" s="50"/>
    </row>
    <row r="143">
      <c r="E143" s="22"/>
    </row>
    <row r="144">
      <c r="E144" s="22"/>
    </row>
    <row r="145">
      <c r="E145" s="22"/>
    </row>
    <row r="146">
      <c r="E146" s="22"/>
    </row>
    <row r="147">
      <c r="E147" s="22"/>
    </row>
    <row r="148">
      <c r="E148" s="22"/>
    </row>
    <row r="149">
      <c r="E149" s="22"/>
    </row>
    <row r="150">
      <c r="E150" s="22"/>
    </row>
    <row r="151">
      <c r="A151" s="50"/>
    </row>
    <row r="157">
      <c r="E157" s="22"/>
    </row>
    <row r="159">
      <c r="D159" s="50"/>
      <c r="E159" s="19"/>
    </row>
    <row r="160">
      <c r="A160" s="50"/>
      <c r="D160" s="50"/>
    </row>
    <row r="166">
      <c r="E166" s="22"/>
    </row>
    <row r="168">
      <c r="E168" s="19"/>
    </row>
  </sheetData>
  <conditionalFormatting sqref="E1:E3 E6:E48">
    <cfRule type="expression" dxfId="0" priority="1">
      <formula>AND(ISFORMULA(E1), REGEXMATCH(FORMULATEXT(E1), "GlobalVariables!"))</formula>
    </cfRule>
  </conditionalFormatting>
  <conditionalFormatting sqref="E1:E3 E6:E48">
    <cfRule type="expression" dxfId="1" priority="2">
      <formula>ISFORMULA(E1)</formula>
    </cfRule>
  </conditionalFormatting>
  <hyperlinks>
    <hyperlink r:id="rId1" ref="D4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14"/>
    <col customWidth="1" min="2" max="2" width="31.29"/>
    <col customWidth="1" min="4" max="4" width="56.86"/>
    <col customWidth="1" min="5" max="5" width="17.57"/>
    <col customWidth="1" min="6" max="6" width="19.86"/>
    <col customWidth="1" min="7" max="7" width="29.29"/>
    <col customWidth="1" min="8" max="8" width="26.86"/>
  </cols>
  <sheetData>
    <row r="1">
      <c r="A1" s="25" t="s">
        <v>12</v>
      </c>
      <c r="B1" s="26" t="s">
        <v>13</v>
      </c>
      <c r="C1" s="25" t="s">
        <v>14</v>
      </c>
      <c r="D1" s="14" t="s">
        <v>15</v>
      </c>
      <c r="E1" s="27" t="s">
        <v>139</v>
      </c>
      <c r="F1" s="27" t="s">
        <v>140</v>
      </c>
      <c r="G1" s="27" t="s">
        <v>141</v>
      </c>
      <c r="H1" s="27" t="s">
        <v>142</v>
      </c>
    </row>
    <row r="2">
      <c r="A2" s="23" t="s">
        <v>143</v>
      </c>
      <c r="B2" s="60"/>
      <c r="C2" s="60"/>
      <c r="D2" s="50"/>
      <c r="E2" s="61" t="s">
        <v>144</v>
      </c>
      <c r="F2" s="61" t="s">
        <v>145</v>
      </c>
      <c r="G2" s="61" t="s">
        <v>145</v>
      </c>
    </row>
    <row r="3">
      <c r="A3" s="6" t="s">
        <v>146</v>
      </c>
      <c r="B3" s="29" t="s">
        <v>147</v>
      </c>
      <c r="C3" s="6" t="s">
        <v>148</v>
      </c>
      <c r="D3" s="36"/>
      <c r="E3" s="38">
        <v>500000.0</v>
      </c>
      <c r="F3" s="38">
        <v>500000.0</v>
      </c>
      <c r="G3" s="38">
        <v>500000.0</v>
      </c>
      <c r="H3" s="38">
        <v>5000000.0</v>
      </c>
    </row>
    <row r="4">
      <c r="A4" s="23" t="s">
        <v>149</v>
      </c>
      <c r="B4" s="29" t="s">
        <v>150</v>
      </c>
      <c r="C4" s="6" t="s">
        <v>118</v>
      </c>
      <c r="D4" s="62"/>
      <c r="E4" s="44">
        <v>10.0</v>
      </c>
      <c r="F4" s="44">
        <v>5.0</v>
      </c>
      <c r="G4" s="44">
        <v>5.0</v>
      </c>
      <c r="H4" s="44">
        <v>10.0</v>
      </c>
    </row>
    <row r="5">
      <c r="A5" s="23" t="s">
        <v>151</v>
      </c>
      <c r="B5" s="30" t="s">
        <v>152</v>
      </c>
      <c r="C5" s="23" t="s">
        <v>153</v>
      </c>
      <c r="D5" s="32" t="s">
        <v>154</v>
      </c>
      <c r="E5" s="33">
        <v>225.0</v>
      </c>
      <c r="F5" s="33">
        <v>1100.0</v>
      </c>
      <c r="G5" s="33">
        <v>1100.0</v>
      </c>
      <c r="H5" s="33">
        <v>250.0</v>
      </c>
    </row>
    <row r="6">
      <c r="A6" s="23" t="s">
        <v>155</v>
      </c>
      <c r="B6" s="30" t="s">
        <v>156</v>
      </c>
      <c r="D6" s="32" t="s">
        <v>157</v>
      </c>
      <c r="E6" s="33">
        <v>1.0</v>
      </c>
      <c r="F6" s="33">
        <v>3.0</v>
      </c>
      <c r="G6" s="33">
        <v>8.0</v>
      </c>
      <c r="H6" s="33">
        <v>1.0</v>
      </c>
    </row>
    <row r="7">
      <c r="A7" s="23" t="s">
        <v>158</v>
      </c>
      <c r="B7" s="29" t="s">
        <v>159</v>
      </c>
      <c r="C7" s="6" t="s">
        <v>35</v>
      </c>
      <c r="D7" s="32" t="s">
        <v>157</v>
      </c>
      <c r="E7" s="33">
        <v>1.0</v>
      </c>
      <c r="F7" s="33">
        <v>1.0</v>
      </c>
      <c r="G7" s="33">
        <v>800.0</v>
      </c>
      <c r="H7" s="33">
        <v>1.0</v>
      </c>
    </row>
    <row r="8">
      <c r="A8" s="6" t="s">
        <v>160</v>
      </c>
      <c r="B8" s="30" t="s">
        <v>161</v>
      </c>
      <c r="C8" s="6" t="s">
        <v>162</v>
      </c>
      <c r="D8" s="63"/>
      <c r="E8" s="38">
        <v>50000.0</v>
      </c>
      <c r="F8" s="38">
        <v>15000.0</v>
      </c>
      <c r="G8" s="38">
        <v>15000.0</v>
      </c>
      <c r="H8" s="38">
        <v>250000.0</v>
      </c>
    </row>
    <row r="9">
      <c r="A9" s="23" t="s">
        <v>163</v>
      </c>
      <c r="B9" s="30" t="s">
        <v>164</v>
      </c>
      <c r="C9" s="23" t="s">
        <v>53</v>
      </c>
      <c r="D9" s="32"/>
      <c r="E9" s="37">
        <v>120000.0</v>
      </c>
      <c r="F9" s="37">
        <v>120000.0</v>
      </c>
      <c r="G9" s="37">
        <v>120000.0</v>
      </c>
      <c r="H9" s="37">
        <v>120000.0</v>
      </c>
    </row>
    <row r="10">
      <c r="A10" s="23" t="s">
        <v>165</v>
      </c>
      <c r="B10" s="30" t="s">
        <v>166</v>
      </c>
      <c r="C10" s="23" t="s">
        <v>35</v>
      </c>
      <c r="D10" s="62"/>
      <c r="E10" s="44">
        <v>2.0</v>
      </c>
      <c r="F10" s="44">
        <v>5.0</v>
      </c>
      <c r="G10" s="44">
        <v>5.0</v>
      </c>
      <c r="H10" s="44">
        <v>0.5</v>
      </c>
    </row>
    <row r="11">
      <c r="A11" s="6" t="s">
        <v>167</v>
      </c>
      <c r="B11" s="30" t="s">
        <v>168</v>
      </c>
      <c r="C11" s="6" t="s">
        <v>26</v>
      </c>
      <c r="D11" s="30" t="s">
        <v>169</v>
      </c>
      <c r="E11" s="31">
        <v>1.0</v>
      </c>
      <c r="F11" s="31">
        <v>1.0</v>
      </c>
      <c r="G11" s="31">
        <v>1.0</v>
      </c>
      <c r="H11" s="31">
        <v>1.0</v>
      </c>
    </row>
    <row r="12">
      <c r="A12" s="6" t="s">
        <v>170</v>
      </c>
      <c r="B12" s="29" t="s">
        <v>171</v>
      </c>
      <c r="C12" s="6" t="s">
        <v>26</v>
      </c>
      <c r="D12" s="30" t="s">
        <v>172</v>
      </c>
      <c r="E12" s="31">
        <v>0.0</v>
      </c>
      <c r="F12" s="31">
        <v>0.0</v>
      </c>
      <c r="G12" s="31">
        <v>0.0</v>
      </c>
      <c r="H12" s="31">
        <v>0.0</v>
      </c>
    </row>
    <row r="13">
      <c r="A13" s="6" t="s">
        <v>173</v>
      </c>
      <c r="B13" s="29" t="s">
        <v>174</v>
      </c>
      <c r="C13" s="6" t="s">
        <v>26</v>
      </c>
      <c r="D13" s="30" t="s">
        <v>175</v>
      </c>
      <c r="E13" s="53">
        <v>1.0</v>
      </c>
      <c r="F13" s="53">
        <v>1.0</v>
      </c>
      <c r="G13" s="53">
        <v>1.0</v>
      </c>
      <c r="H13" s="53">
        <v>1.0</v>
      </c>
    </row>
    <row r="14">
      <c r="A14" s="6" t="s">
        <v>176</v>
      </c>
      <c r="B14" s="29" t="s">
        <v>177</v>
      </c>
      <c r="C14" s="6" t="s">
        <v>99</v>
      </c>
      <c r="D14" s="32" t="s">
        <v>178</v>
      </c>
      <c r="E14" s="33">
        <v>1.0</v>
      </c>
      <c r="F14" s="41">
        <v>16.0</v>
      </c>
      <c r="G14" s="41">
        <v>16.0</v>
      </c>
      <c r="H14" s="33">
        <v>1.0</v>
      </c>
    </row>
    <row r="15">
      <c r="A15" s="23" t="s">
        <v>179</v>
      </c>
      <c r="B15" s="30" t="s">
        <v>180</v>
      </c>
      <c r="C15" s="23" t="s">
        <v>181</v>
      </c>
      <c r="D15" s="40" t="s">
        <v>182</v>
      </c>
      <c r="E15" s="21">
        <f>100000</f>
        <v>100000</v>
      </c>
      <c r="F15" s="38">
        <v>2.0</v>
      </c>
      <c r="G15" s="38">
        <v>2.0</v>
      </c>
      <c r="H15" s="38">
        <v>200000.0</v>
      </c>
    </row>
    <row r="16">
      <c r="A16" s="23" t="s">
        <v>183</v>
      </c>
      <c r="B16" s="30"/>
      <c r="C16" s="23" t="s">
        <v>181</v>
      </c>
      <c r="D16" s="40" t="s">
        <v>184</v>
      </c>
      <c r="E16" s="38">
        <v>2.0</v>
      </c>
      <c r="F16" s="38">
        <v>2.0</v>
      </c>
      <c r="G16" s="38">
        <v>2.0</v>
      </c>
      <c r="H16" s="38">
        <v>2.0</v>
      </c>
    </row>
    <row r="17">
      <c r="A17" s="23" t="s">
        <v>185</v>
      </c>
      <c r="B17" s="30"/>
      <c r="C17" s="23" t="s">
        <v>181</v>
      </c>
      <c r="D17" s="40" t="s">
        <v>186</v>
      </c>
      <c r="E17" s="38">
        <v>2850.0</v>
      </c>
      <c r="F17" s="38">
        <v>2850.0</v>
      </c>
      <c r="G17" s="38">
        <v>2850.0</v>
      </c>
      <c r="H17" s="38">
        <v>2850.0</v>
      </c>
    </row>
    <row r="18">
      <c r="A18" s="23" t="s">
        <v>187</v>
      </c>
      <c r="B18" s="29" t="s">
        <v>188</v>
      </c>
      <c r="C18" s="6" t="s">
        <v>189</v>
      </c>
      <c r="D18" s="64" t="s">
        <v>190</v>
      </c>
      <c r="E18" s="44">
        <v>15.0</v>
      </c>
      <c r="F18" s="44">
        <v>15.0</v>
      </c>
      <c r="G18" s="44">
        <v>15.0</v>
      </c>
      <c r="H18" s="44">
        <v>15.0</v>
      </c>
    </row>
    <row r="19">
      <c r="A19" s="6" t="s">
        <v>191</v>
      </c>
      <c r="B19" s="29" t="s">
        <v>192</v>
      </c>
      <c r="C19" s="6" t="s">
        <v>193</v>
      </c>
      <c r="D19" s="32"/>
      <c r="E19" s="33">
        <v>15.0</v>
      </c>
      <c r="F19" s="33">
        <v>250.0</v>
      </c>
      <c r="G19" s="33">
        <v>250.0</v>
      </c>
      <c r="H19" s="33">
        <v>10.0</v>
      </c>
    </row>
    <row r="20">
      <c r="A20" s="6" t="s">
        <v>194</v>
      </c>
      <c r="B20" s="29" t="s">
        <v>195</v>
      </c>
      <c r="C20" s="6" t="s">
        <v>193</v>
      </c>
      <c r="D20" s="62"/>
      <c r="E20" s="33">
        <v>15.0</v>
      </c>
      <c r="F20" s="33">
        <v>250.0</v>
      </c>
      <c r="G20" s="33">
        <v>250.0</v>
      </c>
      <c r="H20" s="33">
        <v>10.0</v>
      </c>
    </row>
    <row r="21">
      <c r="A21" s="6" t="s">
        <v>196</v>
      </c>
      <c r="B21" s="29" t="s">
        <v>197</v>
      </c>
      <c r="C21" s="6" t="s">
        <v>193</v>
      </c>
      <c r="D21" s="62"/>
      <c r="E21" s="33">
        <v>15.0</v>
      </c>
      <c r="F21" s="33">
        <v>400.0</v>
      </c>
      <c r="G21" s="33">
        <v>400.0</v>
      </c>
      <c r="H21" s="33">
        <v>10.0</v>
      </c>
    </row>
    <row r="22">
      <c r="A22" s="23" t="s">
        <v>198</v>
      </c>
      <c r="B22" s="30" t="s">
        <v>199</v>
      </c>
      <c r="C22" s="23" t="s">
        <v>35</v>
      </c>
      <c r="D22" s="32" t="s">
        <v>200</v>
      </c>
      <c r="E22" s="33">
        <v>1.0</v>
      </c>
      <c r="F22" s="33">
        <v>10000.0</v>
      </c>
      <c r="G22" s="33">
        <v>10000.0</v>
      </c>
      <c r="H22" s="33">
        <v>1.0</v>
      </c>
    </row>
    <row r="23">
      <c r="A23" s="23" t="s">
        <v>201</v>
      </c>
      <c r="B23" s="29"/>
      <c r="C23" s="23" t="s">
        <v>202</v>
      </c>
      <c r="D23" s="32" t="s">
        <v>203</v>
      </c>
      <c r="E23" s="33">
        <v>6000.0</v>
      </c>
      <c r="F23" s="33">
        <v>2048.0</v>
      </c>
      <c r="G23" s="33">
        <v>5000.0</v>
      </c>
      <c r="H23" s="33">
        <v>5000.0</v>
      </c>
    </row>
    <row r="24">
      <c r="A24" s="23" t="s">
        <v>204</v>
      </c>
      <c r="B24" s="29"/>
      <c r="C24" s="23" t="s">
        <v>202</v>
      </c>
      <c r="D24" s="62"/>
      <c r="E24" s="33">
        <v>6000.0</v>
      </c>
      <c r="F24" s="33">
        <v>2048.0</v>
      </c>
      <c r="G24" s="33">
        <v>5000.0</v>
      </c>
      <c r="H24" s="33">
        <v>5000.0</v>
      </c>
    </row>
    <row r="25">
      <c r="A25" s="6" t="s">
        <v>205</v>
      </c>
      <c r="E25" s="53">
        <v>0.1</v>
      </c>
      <c r="F25" s="53">
        <v>0.1</v>
      </c>
      <c r="G25" s="53">
        <v>0.1</v>
      </c>
      <c r="H25" s="53">
        <v>0.1</v>
      </c>
    </row>
  </sheetData>
  <conditionalFormatting sqref="E3:E4 F3:G25 H3:H4 E22:E24 H22">
    <cfRule type="expression" dxfId="0" priority="1">
      <formula>AND(ISFORMULA(E3), REGEXMATCH(FORMULATEXT(E3), "GlobalVariables!"))</formula>
    </cfRule>
  </conditionalFormatting>
  <conditionalFormatting sqref="E3:E4 F3:G25 H3:H4 E22:E24 H22">
    <cfRule type="expression" dxfId="1" priority="2">
      <formula>ISFORMULA(E3)</formula>
    </cfRule>
  </conditionalFormatting>
  <hyperlinks>
    <hyperlink r:id="rId1" ref="E2"/>
    <hyperlink r:id="rId2" ref="F2"/>
    <hyperlink r:id="rId3" ref="G2"/>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outlineLevelRow="1"/>
  <cols>
    <col customWidth="1" min="1" max="1" width="40.71"/>
    <col customWidth="1" min="2" max="2" width="56.0"/>
    <col customWidth="1" min="3" max="3" width="12.0"/>
    <col customWidth="1" min="4" max="4" width="57.57"/>
    <col customWidth="1" min="5" max="5" width="42.0"/>
    <col customWidth="1" min="6" max="6" width="24.0"/>
    <col customWidth="1" min="7" max="8" width="27.86"/>
    <col customWidth="1" min="9" max="9" width="17.71"/>
    <col customWidth="1" min="10" max="10" width="14.0"/>
    <col customWidth="1" min="11" max="11" width="18.14"/>
    <col customWidth="1" min="12" max="12" width="19.86"/>
    <col customWidth="1" min="13" max="13" width="16.57"/>
    <col customWidth="1" min="14" max="28" width="8.71"/>
  </cols>
  <sheetData>
    <row r="1">
      <c r="A1" s="1" t="s">
        <v>206</v>
      </c>
      <c r="B1" s="29"/>
      <c r="D1" s="29"/>
    </row>
    <row r="2">
      <c r="A2" s="25" t="s">
        <v>12</v>
      </c>
      <c r="B2" s="26" t="s">
        <v>13</v>
      </c>
      <c r="C2" s="25" t="s">
        <v>14</v>
      </c>
      <c r="D2" s="14" t="s">
        <v>15</v>
      </c>
      <c r="E2" s="27" t="s">
        <v>16</v>
      </c>
      <c r="F2" s="27" t="s">
        <v>139</v>
      </c>
      <c r="G2" s="27" t="s">
        <v>140</v>
      </c>
      <c r="H2" s="27" t="s">
        <v>141</v>
      </c>
      <c r="I2" s="27" t="s">
        <v>142</v>
      </c>
    </row>
    <row r="3">
      <c r="A3" s="28" t="s">
        <v>17</v>
      </c>
      <c r="B3" s="29"/>
      <c r="D3" s="29"/>
      <c r="L3" s="65"/>
    </row>
    <row r="4" outlineLevel="1">
      <c r="A4" s="28" t="s">
        <v>18</v>
      </c>
      <c r="B4" s="29"/>
      <c r="D4" s="29"/>
      <c r="L4" s="65"/>
    </row>
    <row r="5" outlineLevel="1">
      <c r="A5" s="6" t="s">
        <v>19</v>
      </c>
      <c r="B5" s="30" t="s">
        <v>21</v>
      </c>
      <c r="C5" s="23" t="s">
        <v>20</v>
      </c>
      <c r="D5" s="29"/>
    </row>
    <row r="6" outlineLevel="1">
      <c r="A6" s="6" t="s">
        <v>22</v>
      </c>
      <c r="B6" s="66" t="str">
        <f>'Shared Specifications'!E5</f>
        <v>Complete Mousebrain</v>
      </c>
      <c r="C6" s="66" t="str">
        <f>'Shared Specifications'!C5</f>
        <v>-</v>
      </c>
      <c r="D6" s="66" t="str">
        <f>'Shared Specifications'!D5</f>
        <v/>
      </c>
      <c r="E6" s="20" t="str">
        <f>'Shared Specifications'!E5</f>
        <v>Complete Mousebrain</v>
      </c>
      <c r="F6" s="67" t="str">
        <f t="shared" ref="F6:I6" si="1">$E6</f>
        <v>Complete Mousebrain</v>
      </c>
      <c r="G6" s="67" t="str">
        <f t="shared" si="1"/>
        <v>Complete Mousebrain</v>
      </c>
      <c r="H6" s="67" t="str">
        <f t="shared" si="1"/>
        <v>Complete Mousebrain</v>
      </c>
      <c r="I6" s="67" t="str">
        <f t="shared" si="1"/>
        <v>Complete Mousebrain</v>
      </c>
    </row>
    <row r="7" outlineLevel="1">
      <c r="A7" s="23" t="s">
        <v>24</v>
      </c>
      <c r="B7" s="66" t="str">
        <f>'Shared Specifications'!B6</f>
        <v>Budget and schedule contingency fraction</v>
      </c>
      <c r="C7" s="66" t="str">
        <f>'Shared Specifications'!C6</f>
        <v>fraction</v>
      </c>
      <c r="D7" s="66" t="str">
        <f>'Shared Specifications'!D6</f>
        <v>Standard range of risk buffers</v>
      </c>
      <c r="E7" s="68">
        <f>'Shared Specifications'!E6</f>
        <v>0.2</v>
      </c>
      <c r="F7" s="69">
        <f t="shared" ref="F7:I7" si="2">$E7</f>
        <v>0.2</v>
      </c>
      <c r="G7" s="69">
        <f t="shared" si="2"/>
        <v>0.2</v>
      </c>
      <c r="H7" s="69">
        <f t="shared" si="2"/>
        <v>0.2</v>
      </c>
      <c r="I7" s="69">
        <f t="shared" si="2"/>
        <v>0.2</v>
      </c>
    </row>
    <row r="8" outlineLevel="1">
      <c r="A8" s="23" t="s">
        <v>28</v>
      </c>
      <c r="B8" s="66" t="str">
        <f>'Shared Specifications'!B7</f>
        <v>Budget and schedule contingency fraction</v>
      </c>
      <c r="C8" s="66" t="str">
        <f>'Shared Specifications'!C7</f>
        <v>fraction</v>
      </c>
      <c r="D8" s="66" t="str">
        <f>'Shared Specifications'!D7</f>
        <v>Standard range of risk buffers</v>
      </c>
      <c r="E8" s="68">
        <f>'Shared Specifications'!E7</f>
        <v>0.05</v>
      </c>
      <c r="F8" s="69">
        <f t="shared" ref="F8:I8" si="3">$E8</f>
        <v>0.05</v>
      </c>
      <c r="G8" s="69">
        <f t="shared" si="3"/>
        <v>0.05</v>
      </c>
      <c r="H8" s="69">
        <f t="shared" si="3"/>
        <v>0.05</v>
      </c>
      <c r="I8" s="69">
        <f t="shared" si="3"/>
        <v>0.05</v>
      </c>
    </row>
    <row r="9" outlineLevel="1">
      <c r="A9" s="6" t="s">
        <v>29</v>
      </c>
      <c r="B9" s="66" t="str">
        <f>'Shared Specifications'!B8</f>
        <v>Physical brain volume to be mapped</v>
      </c>
      <c r="C9" s="66" t="str">
        <f>'Shared Specifications'!C8</f>
        <v>mm^3</v>
      </c>
      <c r="D9" s="70" t="str">
        <f>'Shared Specifications'!D8</f>
        <v>Differently sized brains</v>
      </c>
      <c r="E9" s="71">
        <f>'Shared Specifications'!E8</f>
        <v>500</v>
      </c>
      <c r="F9" s="72">
        <f t="shared" ref="F9:I9" si="4">$E9</f>
        <v>500</v>
      </c>
      <c r="G9" s="72">
        <f t="shared" si="4"/>
        <v>500</v>
      </c>
      <c r="H9" s="72">
        <f t="shared" si="4"/>
        <v>500</v>
      </c>
      <c r="I9" s="72">
        <f t="shared" si="4"/>
        <v>500</v>
      </c>
    </row>
    <row r="10" outlineLevel="1">
      <c r="A10" s="23" t="s">
        <v>33</v>
      </c>
      <c r="B10" s="66" t="str">
        <f>'Shared Specifications'!B9</f>
        <v>Number of neurons in the given volume</v>
      </c>
      <c r="C10" s="66" t="str">
        <f>'Shared Specifications'!C9</f>
        <v>count</v>
      </c>
      <c r="D10" s="70" t="str">
        <f>'Shared Specifications'!D9</f>
        <v>based on State of Brain Emulation report</v>
      </c>
      <c r="E10" s="73">
        <f>'Shared Specifications'!E9</f>
        <v>70000000</v>
      </c>
      <c r="F10" s="74">
        <f t="shared" ref="F10:I10" si="5">$E10</f>
        <v>70000000</v>
      </c>
      <c r="G10" s="74">
        <f t="shared" si="5"/>
        <v>70000000</v>
      </c>
      <c r="H10" s="74">
        <f t="shared" si="5"/>
        <v>70000000</v>
      </c>
      <c r="I10" s="74">
        <f t="shared" si="5"/>
        <v>70000000</v>
      </c>
    </row>
    <row r="11" ht="15.75" customHeight="1" outlineLevel="1">
      <c r="A11" s="28" t="s">
        <v>37</v>
      </c>
      <c r="B11" s="66" t="str">
        <f>'Shared Specifications'!B10</f>
        <v/>
      </c>
      <c r="C11" s="66" t="str">
        <f>'Shared Specifications'!C10</f>
        <v/>
      </c>
      <c r="D11" s="75" t="str">
        <f>'Shared Specifications'!D10</f>
        <v/>
      </c>
      <c r="E11" s="71" t="str">
        <f>'Shared Specifications'!E10</f>
        <v/>
      </c>
      <c r="F11" s="72" t="str">
        <f t="shared" ref="F11:I11" si="6">$E11</f>
        <v/>
      </c>
      <c r="G11" s="72" t="str">
        <f t="shared" si="6"/>
        <v/>
      </c>
      <c r="H11" s="72" t="str">
        <f t="shared" si="6"/>
        <v/>
      </c>
      <c r="I11" s="72" t="str">
        <f t="shared" si="6"/>
        <v/>
      </c>
    </row>
    <row r="12" outlineLevel="1">
      <c r="A12" s="23" t="s">
        <v>38</v>
      </c>
      <c r="B12" s="66" t="str">
        <f>'Shared Specifications'!B11</f>
        <v>Years from now when initial purchases are made</v>
      </c>
      <c r="C12" s="66" t="str">
        <f>'Shared Specifications'!C11</f>
        <v>years</v>
      </c>
      <c r="D12" s="76" t="str">
        <f>'Shared Specifications'!D11</f>
        <v>assumptions</v>
      </c>
      <c r="E12" s="20">
        <f>'Shared Specifications'!E11</f>
        <v>0</v>
      </c>
      <c r="F12" s="67">
        <f t="shared" ref="F12:I12" si="7">$E12</f>
        <v>0</v>
      </c>
      <c r="G12" s="67">
        <f t="shared" si="7"/>
        <v>0</v>
      </c>
      <c r="H12" s="67">
        <f t="shared" si="7"/>
        <v>0</v>
      </c>
      <c r="I12" s="67">
        <f t="shared" si="7"/>
        <v>0</v>
      </c>
    </row>
    <row r="13" outlineLevel="1">
      <c r="A13" s="23" t="s">
        <v>42</v>
      </c>
      <c r="B13" s="66" t="str">
        <f>'Shared Specifications'!B12</f>
        <v>Time span for overall project</v>
      </c>
      <c r="C13" s="66" t="str">
        <f>'Shared Specifications'!C12</f>
        <v>years</v>
      </c>
      <c r="D13" s="76" t="str">
        <f>'Shared Specifications'!D12</f>
        <v>assumptions</v>
      </c>
      <c r="E13" s="20">
        <f>'Shared Specifications'!E12</f>
        <v>5</v>
      </c>
      <c r="F13" s="67">
        <f t="shared" ref="F13:I13" si="8">$E13</f>
        <v>5</v>
      </c>
      <c r="G13" s="67">
        <f t="shared" si="8"/>
        <v>5</v>
      </c>
      <c r="H13" s="67">
        <f t="shared" si="8"/>
        <v>5</v>
      </c>
      <c r="I13" s="67">
        <f t="shared" si="8"/>
        <v>5</v>
      </c>
    </row>
    <row r="14" ht="15.75" customHeight="1" outlineLevel="1">
      <c r="A14" s="23" t="s">
        <v>44</v>
      </c>
      <c r="B14" s="66" t="str">
        <f>'Shared Specifications'!B13</f>
        <v>Upfront investment in microscopes</v>
      </c>
      <c r="C14" s="66" t="str">
        <f>'Shared Specifications'!C13</f>
        <v>$</v>
      </c>
      <c r="D14" s="76" t="str">
        <f>'Shared Specifications'!D13</f>
        <v>assumptions</v>
      </c>
      <c r="E14" s="77">
        <f>'Shared Specifications'!E13</f>
        <v>50000000</v>
      </c>
      <c r="F14" s="78">
        <f t="shared" ref="F14:I14" si="9">$E14</f>
        <v>50000000</v>
      </c>
      <c r="G14" s="78">
        <f t="shared" si="9"/>
        <v>50000000</v>
      </c>
      <c r="H14" s="78">
        <f t="shared" si="9"/>
        <v>50000000</v>
      </c>
      <c r="I14" s="78">
        <f t="shared" si="9"/>
        <v>50000000</v>
      </c>
    </row>
    <row r="15" ht="15.75" customHeight="1" outlineLevel="1">
      <c r="A15" s="23" t="s">
        <v>47</v>
      </c>
      <c r="B15" s="66" t="str">
        <f>'Shared Specifications'!B14</f>
        <v>Number of GPUs dedicated during processing</v>
      </c>
      <c r="C15" s="66" t="str">
        <f>'Shared Specifications'!C14</f>
        <v>count</v>
      </c>
      <c r="D15" s="76" t="str">
        <f>'Shared Specifications'!D14</f>
        <v>assumptions</v>
      </c>
      <c r="E15" s="71">
        <f>'Shared Specifications'!E14</f>
        <v>1000</v>
      </c>
      <c r="F15" s="72">
        <f t="shared" ref="F15:I15" si="10">$E15</f>
        <v>1000</v>
      </c>
      <c r="G15" s="72">
        <f t="shared" si="10"/>
        <v>1000</v>
      </c>
      <c r="H15" s="72">
        <f t="shared" si="10"/>
        <v>1000</v>
      </c>
      <c r="I15" s="72">
        <f t="shared" si="10"/>
        <v>1000</v>
      </c>
    </row>
    <row r="16" ht="15.75" customHeight="1" outlineLevel="1">
      <c r="A16" s="23" t="s">
        <v>49</v>
      </c>
      <c r="B16" s="66" t="str">
        <f>'Shared Specifications'!B15</f>
        <v>Cleanroom, isolation, HVAC, racks across whole project lifespan</v>
      </c>
      <c r="C16" s="66" t="str">
        <f>'Shared Specifications'!C15</f>
        <v>$</v>
      </c>
      <c r="D16" s="76" t="str">
        <f>'Shared Specifications'!D15</f>
        <v>assumptions</v>
      </c>
      <c r="E16" s="79">
        <f>'Shared Specifications'!E15</f>
        <v>2000000</v>
      </c>
      <c r="F16" s="80">
        <f t="shared" ref="F16:I16" si="11">$E16</f>
        <v>2000000</v>
      </c>
      <c r="G16" s="80">
        <f t="shared" si="11"/>
        <v>2000000</v>
      </c>
      <c r="H16" s="80">
        <f t="shared" si="11"/>
        <v>2000000</v>
      </c>
      <c r="I16" s="80">
        <f t="shared" si="11"/>
        <v>2000000</v>
      </c>
    </row>
    <row r="17" ht="15.75" customHeight="1" outlineLevel="1">
      <c r="A17" s="23" t="s">
        <v>51</v>
      </c>
      <c r="B17" s="66" t="str">
        <f>'Shared Specifications'!B16</f>
        <v>Average salary with all overheads across the project</v>
      </c>
      <c r="C17" s="66" t="str">
        <f>'Shared Specifications'!C16</f>
        <v>$/year</v>
      </c>
      <c r="D17" s="76" t="str">
        <f>'Shared Specifications'!D16</f>
        <v>assumptions</v>
      </c>
      <c r="E17" s="79">
        <f>'Shared Specifications'!E16</f>
        <v>150000</v>
      </c>
      <c r="F17" s="80">
        <f t="shared" ref="F17:I17" si="12">$E17</f>
        <v>150000</v>
      </c>
      <c r="G17" s="80">
        <f t="shared" si="12"/>
        <v>150000</v>
      </c>
      <c r="H17" s="80">
        <f t="shared" si="12"/>
        <v>150000</v>
      </c>
      <c r="I17" s="80">
        <f t="shared" si="12"/>
        <v>150000</v>
      </c>
    </row>
    <row r="18" ht="15.75" customHeight="1" outlineLevel="1">
      <c r="A18" s="23" t="s">
        <v>54</v>
      </c>
      <c r="B18" s="66" t="str">
        <f>'Shared Specifications'!B17</f>
        <v>Staff members for management of project oversight</v>
      </c>
      <c r="C18" s="66" t="str">
        <f>'Shared Specifications'!C17</f>
        <v>FTE count</v>
      </c>
      <c r="D18" s="76" t="str">
        <f>'Shared Specifications'!D17</f>
        <v>assumptions</v>
      </c>
      <c r="E18" s="81">
        <f>'Shared Specifications'!E17</f>
        <v>10</v>
      </c>
      <c r="F18" s="82">
        <f t="shared" ref="F18:I18" si="13">$E18</f>
        <v>10</v>
      </c>
      <c r="G18" s="82">
        <f t="shared" si="13"/>
        <v>10</v>
      </c>
      <c r="H18" s="82">
        <f t="shared" si="13"/>
        <v>10</v>
      </c>
      <c r="I18" s="82">
        <f t="shared" si="13"/>
        <v>10</v>
      </c>
    </row>
    <row r="19" ht="15.75" customHeight="1" outlineLevel="1">
      <c r="A19" s="23" t="s">
        <v>57</v>
      </c>
      <c r="B19" s="66" t="str">
        <f>'Shared Specifications'!B18</f>
        <v>Sample prep and microscope operations are included in calculations already. This is staff beyond that</v>
      </c>
      <c r="C19" s="66" t="str">
        <f>'Shared Specifications'!C18</f>
        <v>FTE count</v>
      </c>
      <c r="D19" s="76" t="str">
        <f>'Shared Specifications'!D18</f>
        <v>assumptions</v>
      </c>
      <c r="E19" s="81">
        <f>'Shared Specifications'!E18</f>
        <v>15</v>
      </c>
      <c r="F19" s="82">
        <f t="shared" ref="F19:I19" si="14">$E19</f>
        <v>15</v>
      </c>
      <c r="G19" s="82">
        <f t="shared" si="14"/>
        <v>15</v>
      </c>
      <c r="H19" s="82">
        <f t="shared" si="14"/>
        <v>15</v>
      </c>
      <c r="I19" s="82">
        <f t="shared" si="14"/>
        <v>15</v>
      </c>
    </row>
    <row r="20" ht="15.75" customHeight="1" outlineLevel="1">
      <c r="A20" s="23" t="s">
        <v>59</v>
      </c>
      <c r="B20" s="66" t="str">
        <f>'Shared Specifications'!B19</f>
        <v>Operations, Assitants, PR, etc</v>
      </c>
      <c r="C20" s="66" t="str">
        <f>'Shared Specifications'!C19</f>
        <v>FTE count</v>
      </c>
      <c r="D20" s="76" t="str">
        <f>'Shared Specifications'!D19</f>
        <v>assumptions</v>
      </c>
      <c r="E20" s="81">
        <f>'Shared Specifications'!E19</f>
        <v>10</v>
      </c>
      <c r="F20" s="82">
        <f t="shared" ref="F20:I20" si="15">$E20</f>
        <v>10</v>
      </c>
      <c r="G20" s="82">
        <f t="shared" si="15"/>
        <v>10</v>
      </c>
      <c r="H20" s="82">
        <f t="shared" si="15"/>
        <v>10</v>
      </c>
      <c r="I20" s="82">
        <f t="shared" si="15"/>
        <v>10</v>
      </c>
    </row>
    <row r="21" ht="15.75" customHeight="1" outlineLevel="1">
      <c r="A21" s="23" t="s">
        <v>61</v>
      </c>
      <c r="B21" s="66" t="str">
        <f>'Shared Specifications'!B20</f>
        <v>Shipping, permits, biosafety, IP, pubs</v>
      </c>
      <c r="C21" s="66" t="str">
        <f>'Shared Specifications'!C20</f>
        <v>$/project</v>
      </c>
      <c r="D21" s="76" t="str">
        <f>'Shared Specifications'!D20</f>
        <v>misc. costs</v>
      </c>
      <c r="E21" s="79">
        <f>'Shared Specifications'!E20</f>
        <v>250000</v>
      </c>
      <c r="F21" s="80">
        <f t="shared" ref="F21:I21" si="16">$E21</f>
        <v>250000</v>
      </c>
      <c r="G21" s="80">
        <f t="shared" si="16"/>
        <v>250000</v>
      </c>
      <c r="H21" s="80">
        <f t="shared" si="16"/>
        <v>250000</v>
      </c>
      <c r="I21" s="80">
        <f t="shared" si="16"/>
        <v>250000</v>
      </c>
    </row>
    <row r="22" ht="15.75" customHeight="1" outlineLevel="1">
      <c r="A22" s="23" t="s">
        <v>65</v>
      </c>
      <c r="B22" s="66" t="str">
        <f>'Shared Specifications'!B21</f>
        <v>Costs of facility over whole project duration</v>
      </c>
      <c r="C22" s="66" t="str">
        <f>'Shared Specifications'!C21</f>
        <v>$</v>
      </c>
      <c r="D22" s="76" t="str">
        <f>'Shared Specifications'!D21</f>
        <v>calculation</v>
      </c>
      <c r="E22" s="79">
        <f>'Shared Specifications'!E21</f>
        <v>10000000</v>
      </c>
      <c r="F22" s="80">
        <f t="shared" ref="F22:I22" si="17">$E22</f>
        <v>10000000</v>
      </c>
      <c r="G22" s="80">
        <f t="shared" si="17"/>
        <v>10000000</v>
      </c>
      <c r="H22" s="80">
        <f t="shared" si="17"/>
        <v>10000000</v>
      </c>
      <c r="I22" s="80">
        <f t="shared" si="17"/>
        <v>10000000</v>
      </c>
    </row>
    <row r="23" ht="15.75" customHeight="1" outlineLevel="1">
      <c r="A23" s="6" t="s">
        <v>68</v>
      </c>
      <c r="B23" s="66" t="str">
        <f>'Shared Specifications'!B22</f>
        <v>Scopes + facility + core SW + initial training</v>
      </c>
      <c r="C23" s="66" t="str">
        <f>'Shared Specifications'!C22</f>
        <v>$</v>
      </c>
      <c r="D23" s="76" t="str">
        <f>'Shared Specifications'!D22</f>
        <v>calculation</v>
      </c>
      <c r="E23" s="79">
        <f>'Shared Specifications'!E22</f>
        <v>55000000</v>
      </c>
      <c r="F23" s="80">
        <f t="shared" ref="F23:I23" si="18">$E23</f>
        <v>55000000</v>
      </c>
      <c r="G23" s="80">
        <f t="shared" si="18"/>
        <v>55000000</v>
      </c>
      <c r="H23" s="80">
        <f t="shared" si="18"/>
        <v>55000000</v>
      </c>
      <c r="I23" s="80">
        <f t="shared" si="18"/>
        <v>55000000</v>
      </c>
    </row>
    <row r="24" ht="15.75" customHeight="1" outlineLevel="1">
      <c r="A24" s="23" t="s">
        <v>70</v>
      </c>
      <c r="B24" s="66" t="str">
        <f>'Shared Specifications'!B23</f>
        <v>Pipelines, data mgmt, viewers, model training</v>
      </c>
      <c r="C24" s="66" t="str">
        <f>'Shared Specifications'!C23</f>
        <v>$</v>
      </c>
      <c r="D24" s="76" t="str">
        <f>'Shared Specifications'!D23</f>
        <v>assumptions
Example: Liccon reported "Training ran up to 30 days on 32 NVIDIA V100 GPUs with about 8.8 million steps (batch size 128), and they also trained a semantic classifier on 16 V100s for ~38 h." which is probably 10k. Let's assume we need 10x that for different models</v>
      </c>
      <c r="E24" s="79">
        <f>'Shared Specifications'!E23</f>
        <v>2000000</v>
      </c>
      <c r="F24" s="80">
        <f t="shared" ref="F24:I24" si="19">$E24</f>
        <v>2000000</v>
      </c>
      <c r="G24" s="80">
        <f t="shared" si="19"/>
        <v>2000000</v>
      </c>
      <c r="H24" s="80">
        <f t="shared" si="19"/>
        <v>2000000</v>
      </c>
      <c r="I24" s="80">
        <f t="shared" si="19"/>
        <v>2000000</v>
      </c>
    </row>
    <row r="25" outlineLevel="1">
      <c r="A25" s="28" t="s">
        <v>73</v>
      </c>
      <c r="B25" s="66" t="str">
        <f>'Shared Specifications'!B24</f>
        <v/>
      </c>
      <c r="C25" s="66" t="str">
        <f>'Shared Specifications'!C24</f>
        <v/>
      </c>
      <c r="D25" s="66" t="str">
        <f>'Shared Specifications'!D24</f>
        <v/>
      </c>
      <c r="E25" s="68" t="str">
        <f>'Shared Specifications'!E24</f>
        <v/>
      </c>
      <c r="F25" s="69" t="str">
        <f t="shared" ref="F25:I25" si="20">$E25</f>
        <v/>
      </c>
      <c r="G25" s="69" t="str">
        <f t="shared" si="20"/>
        <v/>
      </c>
      <c r="H25" s="69" t="str">
        <f t="shared" si="20"/>
        <v/>
      </c>
      <c r="I25" s="69" t="str">
        <f t="shared" si="20"/>
        <v/>
      </c>
    </row>
    <row r="26" ht="15.75" customHeight="1" outlineLevel="1">
      <c r="A26" s="23" t="s">
        <v>74</v>
      </c>
      <c r="B26" s="66" t="str">
        <f>'Shared Specifications'!B25</f>
        <v>Maximum FP 16 FLOP/s for GPU</v>
      </c>
      <c r="C26" s="66" t="str">
        <f>'Shared Specifications'!C25</f>
        <v>TFLOPs/s</v>
      </c>
      <c r="D26" s="70" t="str">
        <f>'Shared Specifications'!D25</f>
        <v>H100 FP 16 with 1,979 TFLOPs: https://www.nvidia.com/en-us/data-center/h100/
So far architectures in connectomics use FP32, but at scale FP16 seems more reasonable.</v>
      </c>
      <c r="E26" s="83">
        <f>'Shared Specifications'!E25</f>
        <v>1979</v>
      </c>
      <c r="F26" s="84">
        <f t="shared" ref="F26:I26" si="21">$E26</f>
        <v>1979</v>
      </c>
      <c r="G26" s="84">
        <f t="shared" si="21"/>
        <v>1979</v>
      </c>
      <c r="H26" s="84">
        <f t="shared" si="21"/>
        <v>1979</v>
      </c>
      <c r="I26" s="84">
        <f t="shared" si="21"/>
        <v>1979</v>
      </c>
    </row>
    <row r="27" ht="15.75" customHeight="1" outlineLevel="1">
      <c r="A27" s="23" t="s">
        <v>78</v>
      </c>
      <c r="B27" s="66" t="str">
        <f>'Shared Specifications'!B26</f>
        <v>Continuous GPU usage across time</v>
      </c>
      <c r="C27" s="66" t="str">
        <f>'Shared Specifications'!C26</f>
        <v>fraction</v>
      </c>
      <c r="D27" s="70" t="str">
        <f>'Shared Specifications'!D26</f>
        <v>estimate</v>
      </c>
      <c r="E27" s="68">
        <f>'Shared Specifications'!E26</f>
        <v>0.8</v>
      </c>
      <c r="F27" s="69">
        <f t="shared" ref="F27:I27" si="22">$E27</f>
        <v>0.8</v>
      </c>
      <c r="G27" s="69">
        <f t="shared" si="22"/>
        <v>0.8</v>
      </c>
      <c r="H27" s="69">
        <f t="shared" si="22"/>
        <v>0.8</v>
      </c>
      <c r="I27" s="69">
        <f t="shared" si="22"/>
        <v>0.8</v>
      </c>
    </row>
    <row r="28" outlineLevel="1">
      <c r="A28" s="23" t="s">
        <v>81</v>
      </c>
      <c r="B28" s="66" t="str">
        <f>'Shared Specifications'!B27</f>
        <v>Costs for access to 1h of GPU</v>
      </c>
      <c r="C28" s="66" t="str">
        <f>'Shared Specifications'!C27</f>
        <v>$ / hour</v>
      </c>
      <c r="D28" s="66" t="str">
        <f>'Shared Specifications'!D27</f>
        <v>at scale pricing for GPUs</v>
      </c>
      <c r="E28" s="85">
        <f>'Shared Specifications'!E27</f>
        <v>2</v>
      </c>
      <c r="F28" s="86">
        <f t="shared" ref="F28:I28" si="23">$E28</f>
        <v>2</v>
      </c>
      <c r="G28" s="86">
        <f t="shared" si="23"/>
        <v>2</v>
      </c>
      <c r="H28" s="86">
        <f t="shared" si="23"/>
        <v>2</v>
      </c>
      <c r="I28" s="86">
        <f t="shared" si="23"/>
        <v>2</v>
      </c>
    </row>
    <row r="29" outlineLevel="1">
      <c r="A29" s="23" t="s">
        <v>85</v>
      </c>
      <c r="B29" s="66" t="str">
        <f>'Shared Specifications'!B28</f>
        <v>Cost drop compute per year</v>
      </c>
      <c r="C29" s="66" t="str">
        <f>'Shared Specifications'!C28</f>
        <v>fraction</v>
      </c>
      <c r="D29" s="66" t="str">
        <f>'Shared Specifications'!D28</f>
        <v>assumption from past trends</v>
      </c>
      <c r="E29" s="68">
        <f>'Shared Specifications'!E28</f>
        <v>0.1</v>
      </c>
      <c r="F29" s="69">
        <f t="shared" ref="F29:I29" si="24">$E29</f>
        <v>0.1</v>
      </c>
      <c r="G29" s="69">
        <f t="shared" si="24"/>
        <v>0.1</v>
      </c>
      <c r="H29" s="69">
        <f t="shared" si="24"/>
        <v>0.1</v>
      </c>
      <c r="I29" s="69">
        <f t="shared" si="24"/>
        <v>0.1</v>
      </c>
    </row>
    <row r="30" outlineLevel="1">
      <c r="A30" s="23" t="s">
        <v>87</v>
      </c>
      <c r="B30" s="66" t="str">
        <f>'Shared Specifications'!B29</f>
        <v>cost drop storage per year</v>
      </c>
      <c r="C30" s="66" t="str">
        <f>'Shared Specifications'!C29</f>
        <v>fraction</v>
      </c>
      <c r="D30" s="66" t="str">
        <f>'Shared Specifications'!D29</f>
        <v>assumption from past trends</v>
      </c>
      <c r="E30" s="68">
        <f>'Shared Specifications'!E29</f>
        <v>0.05</v>
      </c>
      <c r="F30" s="69">
        <f t="shared" ref="F30:I30" si="25">$E30</f>
        <v>0.05</v>
      </c>
      <c r="G30" s="69">
        <f t="shared" si="25"/>
        <v>0.05</v>
      </c>
      <c r="H30" s="69">
        <f t="shared" si="25"/>
        <v>0.05</v>
      </c>
      <c r="I30" s="69">
        <f t="shared" si="25"/>
        <v>0.05</v>
      </c>
    </row>
    <row r="31" ht="15.75" customHeight="1" outlineLevel="1">
      <c r="A31" s="23" t="s">
        <v>88</v>
      </c>
      <c r="B31" s="66" t="str">
        <f>'Shared Specifications'!B30</f>
        <v>Storage system for working files</v>
      </c>
      <c r="C31" s="66" t="str">
        <f>'Shared Specifications'!C30</f>
        <v>$ / month</v>
      </c>
      <c r="D31" s="76" t="str">
        <f>'Shared Specifications'!D30</f>
        <v>Taking on-premise pricing
See https://aws.amazon.com/s3/pricing/ accessed 2025-09-04
Frequent Access Tier, First 50 TB / Month        $0.023 per GB
Frequent Access Tier, Next 450 TB / Month        $0.022 per GB
Frequent Access Tier, Over 500 TB / Month        $0.021 per GB
Infrequent Access Tier, All Storage / Month        $0.0125 per GB
Archive Instant Access Tier, All Storage / Month        $0.004 per GB
For on-prem assumption is that standard is 8x cheaper, archive 2x cheaper</v>
      </c>
      <c r="E31" s="79">
        <f>'Shared Specifications'!E30</f>
        <v>2625</v>
      </c>
      <c r="F31" s="80">
        <f t="shared" ref="F31:I31" si="26">$E31</f>
        <v>2625</v>
      </c>
      <c r="G31" s="80">
        <f t="shared" si="26"/>
        <v>2625</v>
      </c>
      <c r="H31" s="80">
        <f t="shared" si="26"/>
        <v>2625</v>
      </c>
      <c r="I31" s="80">
        <f t="shared" si="26"/>
        <v>2625</v>
      </c>
    </row>
    <row r="32" ht="15.75" customHeight="1" outlineLevel="1">
      <c r="A32" s="23" t="s">
        <v>92</v>
      </c>
      <c r="B32" s="66" t="str">
        <f>'Shared Specifications'!B31</f>
        <v>Storage system for backup files</v>
      </c>
      <c r="C32" s="66" t="str">
        <f>'Shared Specifications'!C31</f>
        <v>$ / month</v>
      </c>
      <c r="D32" s="76" t="str">
        <f>'Shared Specifications'!D31</f>
        <v>see above</v>
      </c>
      <c r="E32" s="79">
        <f>'Shared Specifications'!E31</f>
        <v>2000</v>
      </c>
      <c r="F32" s="80">
        <f t="shared" ref="F32:I32" si="27">$E32</f>
        <v>2000</v>
      </c>
      <c r="G32" s="80">
        <f t="shared" si="27"/>
        <v>2000</v>
      </c>
      <c r="H32" s="80">
        <f t="shared" si="27"/>
        <v>2000</v>
      </c>
      <c r="I32" s="80">
        <f t="shared" si="27"/>
        <v>2000</v>
      </c>
    </row>
    <row r="33" ht="15.75" customHeight="1" outlineLevel="1">
      <c r="A33" s="23" t="s">
        <v>95</v>
      </c>
      <c r="B33" s="66" t="str">
        <f>'Shared Specifications'!B32</f>
        <v/>
      </c>
      <c r="C33" s="66" t="str">
        <f>'Shared Specifications'!C32</f>
        <v/>
      </c>
      <c r="D33" s="87" t="str">
        <f>'Shared Specifications'!D32</f>
        <v>Assuming 8-bits per voxel at 1 byte</v>
      </c>
      <c r="E33" s="73">
        <f>'Shared Specifications'!E32</f>
        <v>1</v>
      </c>
      <c r="F33" s="74">
        <f t="shared" ref="F33:I33" si="28">$E33</f>
        <v>1</v>
      </c>
      <c r="G33" s="74">
        <f t="shared" si="28"/>
        <v>1</v>
      </c>
      <c r="H33" s="74">
        <f t="shared" si="28"/>
        <v>1</v>
      </c>
      <c r="I33" s="74">
        <f t="shared" si="28"/>
        <v>1</v>
      </c>
    </row>
    <row r="34" ht="15.75" customHeight="1" outlineLevel="1">
      <c r="A34" s="6" t="s">
        <v>97</v>
      </c>
      <c r="B34" s="66" t="str">
        <f>'Shared Specifications'!B33</f>
        <v>Raw to lossless</v>
      </c>
      <c r="C34" s="66" t="str">
        <f>'Shared Specifications'!C33</f>
        <v>×</v>
      </c>
      <c r="D34" s="70" t="str">
        <f>'Shared Specifications'!D33</f>
        <v>as per Wellcome Trust Report; assumed to happen in parallel to image acquisition</v>
      </c>
      <c r="E34" s="88">
        <f>'Shared Specifications'!E33</f>
        <v>1.5</v>
      </c>
      <c r="F34" s="89">
        <f t="shared" ref="F34:I34" si="29">$E34</f>
        <v>1.5</v>
      </c>
      <c r="G34" s="89">
        <f t="shared" si="29"/>
        <v>1.5</v>
      </c>
      <c r="H34" s="89">
        <f t="shared" si="29"/>
        <v>1.5</v>
      </c>
      <c r="I34" s="89">
        <f t="shared" si="29"/>
        <v>1.5</v>
      </c>
    </row>
    <row r="35" ht="15.75" customHeight="1" outlineLevel="1">
      <c r="A35" s="6" t="s">
        <v>101</v>
      </c>
      <c r="B35" s="66" t="str">
        <f>'Shared Specifications'!B34</f>
        <v>Raw to lossy</v>
      </c>
      <c r="C35" s="66" t="str">
        <f>'Shared Specifications'!C34</f>
        <v>×</v>
      </c>
      <c r="D35" s="70" t="str">
        <f>'Shared Specifications'!D34</f>
        <v>estimate; 120x compression demonstrated for EM; assumed to happen in parallel to image acquisition</v>
      </c>
      <c r="E35" s="88">
        <f>'Shared Specifications'!E34</f>
        <v>120</v>
      </c>
      <c r="F35" s="89">
        <f t="shared" ref="F35:I35" si="30">$E35</f>
        <v>120</v>
      </c>
      <c r="G35" s="89">
        <f t="shared" si="30"/>
        <v>120</v>
      </c>
      <c r="H35" s="89">
        <f t="shared" si="30"/>
        <v>120</v>
      </c>
      <c r="I35" s="89">
        <f t="shared" si="30"/>
        <v>120</v>
      </c>
    </row>
    <row r="36" ht="15.75" customHeight="1" outlineLevel="1">
      <c r="A36" s="23" t="s">
        <v>104</v>
      </c>
      <c r="B36" s="66" t="str">
        <f>'Shared Specifications'!B35</f>
        <v>labels + meshes + skeletons + graphs + annotations overhead</v>
      </c>
      <c r="C36" s="66" t="str">
        <f>'Shared Specifications'!C35</f>
        <v>%</v>
      </c>
      <c r="D36" s="70" t="str">
        <f>'Shared Specifications'!D35</f>
        <v>estimate for image overlays for labels</v>
      </c>
      <c r="E36" s="68">
        <f>'Shared Specifications'!E35</f>
        <v>0.05</v>
      </c>
      <c r="F36" s="69">
        <f t="shared" ref="F36:I36" si="31">$E36</f>
        <v>0.05</v>
      </c>
      <c r="G36" s="69">
        <f t="shared" si="31"/>
        <v>0.05</v>
      </c>
      <c r="H36" s="69">
        <f t="shared" si="31"/>
        <v>0.05</v>
      </c>
      <c r="I36" s="69">
        <f t="shared" si="31"/>
        <v>0.05</v>
      </c>
    </row>
    <row r="37" ht="15.75" customHeight="1" outlineLevel="1">
      <c r="A37" s="23" t="s">
        <v>108</v>
      </c>
      <c r="B37" s="66" t="str">
        <f>'Shared Specifications'!B36</f>
        <v>Hot copies lossless online of first connectome</v>
      </c>
      <c r="C37" s="66" t="str">
        <f>'Shared Specifications'!C36</f>
        <v>count</v>
      </c>
      <c r="D37" s="76" t="str">
        <f>'Shared Specifications'!D36</f>
        <v>assumptions</v>
      </c>
      <c r="E37" s="88">
        <f>'Shared Specifications'!E36</f>
        <v>3</v>
      </c>
      <c r="F37" s="89">
        <f t="shared" ref="F37:I37" si="32">$E37</f>
        <v>3</v>
      </c>
      <c r="G37" s="89">
        <f t="shared" si="32"/>
        <v>3</v>
      </c>
      <c r="H37" s="89">
        <f t="shared" si="32"/>
        <v>3</v>
      </c>
      <c r="I37" s="89">
        <f t="shared" si="32"/>
        <v>3</v>
      </c>
    </row>
    <row r="38" ht="15.75" customHeight="1" outlineLevel="1">
      <c r="A38" s="23" t="s">
        <v>110</v>
      </c>
      <c r="B38" s="66" t="str">
        <f>'Shared Specifications'!B37</f>
        <v>Cold copies retained first connectome</v>
      </c>
      <c r="C38" s="66" t="str">
        <f>'Shared Specifications'!C37</f>
        <v>count</v>
      </c>
      <c r="D38" s="76" t="str">
        <f>'Shared Specifications'!D37</f>
        <v>assumptions</v>
      </c>
      <c r="E38" s="88">
        <f>'Shared Specifications'!E37</f>
        <v>2</v>
      </c>
      <c r="F38" s="89">
        <f t="shared" ref="F38:I38" si="33">$E38</f>
        <v>2</v>
      </c>
      <c r="G38" s="89">
        <f t="shared" si="33"/>
        <v>2</v>
      </c>
      <c r="H38" s="89">
        <f t="shared" si="33"/>
        <v>2</v>
      </c>
      <c r="I38" s="89">
        <f t="shared" si="33"/>
        <v>2</v>
      </c>
    </row>
    <row r="39" ht="15.75" customHeight="1" outlineLevel="1">
      <c r="A39" s="23" t="s">
        <v>112</v>
      </c>
      <c r="B39" s="66" t="str">
        <f>'Shared Specifications'!B38</f>
        <v>Hot copies lossless online of marginal connectomes</v>
      </c>
      <c r="C39" s="66" t="str">
        <f>'Shared Specifications'!C38</f>
        <v>count</v>
      </c>
      <c r="D39" s="76" t="str">
        <f>'Shared Specifications'!D38</f>
        <v>assumptions</v>
      </c>
      <c r="E39" s="88">
        <f>'Shared Specifications'!E38</f>
        <v>1</v>
      </c>
      <c r="F39" s="89">
        <f t="shared" ref="F39:I39" si="34">$E39</f>
        <v>1</v>
      </c>
      <c r="G39" s="89">
        <f t="shared" si="34"/>
        <v>1</v>
      </c>
      <c r="H39" s="89">
        <f t="shared" si="34"/>
        <v>1</v>
      </c>
      <c r="I39" s="89">
        <f t="shared" si="34"/>
        <v>1</v>
      </c>
    </row>
    <row r="40" ht="15.75" customHeight="1" outlineLevel="1">
      <c r="A40" s="23" t="s">
        <v>114</v>
      </c>
      <c r="B40" s="66" t="str">
        <f>'Shared Specifications'!B39</f>
        <v>Cold copies retained of marginal connectomes</v>
      </c>
      <c r="C40" s="66" t="str">
        <f>'Shared Specifications'!C39</f>
        <v>count</v>
      </c>
      <c r="D40" s="76" t="str">
        <f>'Shared Specifications'!D39</f>
        <v>assumptions</v>
      </c>
      <c r="E40" s="88">
        <f>'Shared Specifications'!E39</f>
        <v>0</v>
      </c>
      <c r="F40" s="89">
        <f t="shared" ref="F40:I40" si="35">$E40</f>
        <v>0</v>
      </c>
      <c r="G40" s="89">
        <f t="shared" si="35"/>
        <v>0</v>
      </c>
      <c r="H40" s="89">
        <f t="shared" si="35"/>
        <v>0</v>
      </c>
      <c r="I40" s="89">
        <f t="shared" si="35"/>
        <v>0</v>
      </c>
    </row>
    <row r="41" ht="15.75" customHeight="1" outlineLevel="1">
      <c r="A41" s="6" t="s">
        <v>116</v>
      </c>
      <c r="B41" s="66" t="str">
        <f>'Shared Specifications'!B40</f>
        <v>How long active copies are kept</v>
      </c>
      <c r="C41" s="66" t="str">
        <f>'Shared Specifications'!C40</f>
        <v>yr</v>
      </c>
      <c r="D41" s="76" t="str">
        <f>'Shared Specifications'!D40</f>
        <v>assumptions</v>
      </c>
      <c r="E41" s="88">
        <f>'Shared Specifications'!E40</f>
        <v>5</v>
      </c>
      <c r="F41" s="89">
        <f t="shared" ref="F41:I41" si="36">$E41</f>
        <v>5</v>
      </c>
      <c r="G41" s="89">
        <f t="shared" si="36"/>
        <v>5</v>
      </c>
      <c r="H41" s="89">
        <f t="shared" si="36"/>
        <v>5</v>
      </c>
      <c r="I41" s="89">
        <f t="shared" si="36"/>
        <v>5</v>
      </c>
    </row>
    <row r="42" ht="15.75" customHeight="1" outlineLevel="1">
      <c r="A42" s="6" t="s">
        <v>119</v>
      </c>
      <c r="B42" s="66" t="str">
        <f>'Shared Specifications'!B41</f>
        <v>How long archive copies are kept</v>
      </c>
      <c r="C42" s="66" t="str">
        <f>'Shared Specifications'!C41</f>
        <v>yr</v>
      </c>
      <c r="D42" s="76" t="str">
        <f>'Shared Specifications'!D41</f>
        <v>assumptions</v>
      </c>
      <c r="E42" s="88">
        <f>'Shared Specifications'!E41</f>
        <v>10</v>
      </c>
      <c r="F42" s="89">
        <f t="shared" ref="F42:I42" si="37">$E42</f>
        <v>10</v>
      </c>
      <c r="G42" s="89">
        <f t="shared" si="37"/>
        <v>10</v>
      </c>
      <c r="H42" s="89">
        <f t="shared" si="37"/>
        <v>10</v>
      </c>
      <c r="I42" s="89">
        <f t="shared" si="37"/>
        <v>10</v>
      </c>
    </row>
    <row r="43" ht="15.75" customHeight="1" outlineLevel="1">
      <c r="A43" s="23" t="s">
        <v>121</v>
      </c>
      <c r="B43" s="66" t="str">
        <f>'Shared Specifications'!B42</f>
        <v>Average FLOPs/s for GPU</v>
      </c>
      <c r="C43" s="66" t="str">
        <f>'Shared Specifications'!C42</f>
        <v>TFLOPs/s</v>
      </c>
      <c r="D43" s="70" t="str">
        <f>'Shared Specifications'!D42</f>
        <v>calculation</v>
      </c>
      <c r="E43" s="90">
        <f>'Shared Specifications'!E42</f>
        <v>1583.2</v>
      </c>
      <c r="F43" s="91">
        <f t="shared" ref="F43:I43" si="38">$E43</f>
        <v>1583.2</v>
      </c>
      <c r="G43" s="91">
        <f t="shared" si="38"/>
        <v>1583.2</v>
      </c>
      <c r="H43" s="91">
        <f t="shared" si="38"/>
        <v>1583.2</v>
      </c>
      <c r="I43" s="91">
        <f t="shared" si="38"/>
        <v>1583.2</v>
      </c>
    </row>
    <row r="44" ht="15.75" customHeight="1" outlineLevel="1">
      <c r="A44" s="23" t="s">
        <v>123</v>
      </c>
      <c r="B44" s="66" t="str">
        <f>'Shared Specifications'!B43</f>
        <v>Effective price at a given date in the future</v>
      </c>
      <c r="C44" s="66" t="str">
        <f>'Shared Specifications'!C43</f>
        <v>$ / hour</v>
      </c>
      <c r="D44" s="70" t="str">
        <f>'Shared Specifications'!D43</f>
        <v>calculation</v>
      </c>
      <c r="E44" s="85">
        <f>'Shared Specifications'!E43</f>
        <v>2</v>
      </c>
      <c r="F44" s="86">
        <f t="shared" ref="F44:I44" si="39">$E44</f>
        <v>2</v>
      </c>
      <c r="G44" s="86">
        <f t="shared" si="39"/>
        <v>2</v>
      </c>
      <c r="H44" s="86">
        <f t="shared" si="39"/>
        <v>2</v>
      </c>
      <c r="I44" s="86">
        <f t="shared" si="39"/>
        <v>2</v>
      </c>
    </row>
    <row r="45" ht="15.75" customHeight="1" outlineLevel="1">
      <c r="A45" s="23" t="s">
        <v>125</v>
      </c>
      <c r="B45" s="66" t="str">
        <f>'Shared Specifications'!B44</f>
        <v>Online storage price</v>
      </c>
      <c r="C45" s="66" t="str">
        <f>'Shared Specifications'!C44</f>
        <v>$/PB-year</v>
      </c>
      <c r="D45" s="70" t="str">
        <f>'Shared Specifications'!D44</f>
        <v>calculation</v>
      </c>
      <c r="E45" s="79">
        <f>'Shared Specifications'!E44</f>
        <v>31500</v>
      </c>
      <c r="F45" s="80">
        <f t="shared" ref="F45:I45" si="40">$E45</f>
        <v>31500</v>
      </c>
      <c r="G45" s="80">
        <f t="shared" si="40"/>
        <v>31500</v>
      </c>
      <c r="H45" s="80">
        <f t="shared" si="40"/>
        <v>31500</v>
      </c>
      <c r="I45" s="80">
        <f t="shared" si="40"/>
        <v>31500</v>
      </c>
    </row>
    <row r="46" ht="15.75" customHeight="1" outlineLevel="1">
      <c r="A46" s="23" t="s">
        <v>128</v>
      </c>
      <c r="B46" s="66" t="str">
        <f>'Shared Specifications'!B45</f>
        <v>Archive storage price</v>
      </c>
      <c r="C46" s="66" t="str">
        <f>'Shared Specifications'!C45</f>
        <v>$/PB-year</v>
      </c>
      <c r="D46" s="70" t="str">
        <f>'Shared Specifications'!D45</f>
        <v>calculation</v>
      </c>
      <c r="E46" s="79">
        <f>'Shared Specifications'!E45</f>
        <v>24000</v>
      </c>
      <c r="F46" s="80">
        <f t="shared" ref="F46:I46" si="41">$E46</f>
        <v>24000</v>
      </c>
      <c r="G46" s="80">
        <f t="shared" si="41"/>
        <v>24000</v>
      </c>
      <c r="H46" s="80">
        <f t="shared" si="41"/>
        <v>24000</v>
      </c>
      <c r="I46" s="80">
        <f t="shared" si="41"/>
        <v>24000</v>
      </c>
    </row>
    <row r="47" outlineLevel="1">
      <c r="A47" s="28" t="s">
        <v>130</v>
      </c>
      <c r="B47" s="66" t="str">
        <f>'Shared Specifications'!B46</f>
        <v/>
      </c>
      <c r="C47" s="66" t="str">
        <f>'Shared Specifications'!C46</f>
        <v/>
      </c>
      <c r="D47" s="66" t="str">
        <f>'Shared Specifications'!D46</f>
        <v/>
      </c>
      <c r="E47" s="20" t="str">
        <f>'Shared Specifications'!E46</f>
        <v/>
      </c>
      <c r="F47" s="67" t="str">
        <f t="shared" ref="F47:I47" si="42">$E47</f>
        <v/>
      </c>
      <c r="G47" s="67" t="str">
        <f t="shared" si="42"/>
        <v/>
      </c>
      <c r="H47" s="67" t="str">
        <f t="shared" si="42"/>
        <v/>
      </c>
      <c r="I47" s="67" t="str">
        <f t="shared" si="42"/>
        <v/>
      </c>
      <c r="L47" s="65"/>
    </row>
    <row r="48" ht="15.75" customHeight="1" outlineLevel="1">
      <c r="A48" s="23" t="s">
        <v>131</v>
      </c>
      <c r="B48" s="66" t="str">
        <f>'Shared Specifications'!B47</f>
        <v>FP32-equivalent Floating point operations.</v>
      </c>
      <c r="C48" s="66" t="str">
        <f>'Shared Specifications'!C47</f>
        <v>TFLOP / tile</v>
      </c>
      <c r="D48" s="70" t="str">
        <f>'Shared Specifications'!D47</f>
        <v>
For MICrONS The alignment took 230 h on a cluster of preemptible NVIDIA T4 GPUs on Google Cloud. The cluster size fluctuated due to hardware availability constraints, with the number of active GPUs averaging at 1200. T4 has 8.1 TFLOPS FP32 peak, so 80% is ~6.5TFLOPS. With 276,000 GPU hours we are 6.5*60*60*276000 = 6.458.400.000 TFLOPs for 14,442,143 tiles with 20MP and 50MP. The total costs here are in the 100-250k ballpark. 
6.458.400.000 TFLOPs for 14,442,143 tiles is roughly 450 TFLOPs per tile</v>
      </c>
      <c r="E48" s="92">
        <f>'Shared Specifications'!E47</f>
        <v>450</v>
      </c>
      <c r="F48" s="93">
        <f t="shared" ref="F48:I48" si="43">$E48</f>
        <v>450</v>
      </c>
      <c r="G48" s="93">
        <f t="shared" si="43"/>
        <v>450</v>
      </c>
      <c r="H48" s="93">
        <f t="shared" si="43"/>
        <v>450</v>
      </c>
      <c r="I48" s="93">
        <f t="shared" si="43"/>
        <v>450</v>
      </c>
    </row>
    <row r="49" ht="15.75" customHeight="1" outlineLevel="1">
      <c r="A49" s="23" t="s">
        <v>135</v>
      </c>
      <c r="B49" s="66" t="str">
        <f>'Shared Specifications'!B48</f>
        <v>FP32-equivalent Floating point operations/voxel.</v>
      </c>
      <c r="C49" s="66" t="str">
        <f>'Shared Specifications'!C48</f>
        <v>TFLOP / voxel</v>
      </c>
      <c r="D49" s="70" t="str">
        <f>'Shared Specifications'!D48</f>
        <v>We are assuming 2M FLOP / voxel with LSDs. based on 1/100 of FFN that are 2.42×108 FLOPs/voxel https://www.nature.com/articles/s41592-022-01711-z and https://static-content.springer.com/esm/art%3A10.1038%2Fs41592-018-0049-4/MediaObjects/41592_2018_49_MOESM1_ESM.pdf#page=11
</v>
      </c>
      <c r="E49" s="94">
        <f>'Shared Specifications'!E48</f>
        <v>0.0000024</v>
      </c>
      <c r="F49" s="95">
        <f t="shared" ref="F49:I49" si="44">$E49</f>
        <v>0.0000024</v>
      </c>
      <c r="G49" s="95">
        <f t="shared" si="44"/>
        <v>0.0000024</v>
      </c>
      <c r="H49" s="95">
        <f t="shared" si="44"/>
        <v>0.0000024</v>
      </c>
      <c r="I49" s="95">
        <f t="shared" si="44"/>
        <v>0.0000024</v>
      </c>
    </row>
    <row r="50" ht="15.75" customHeight="1">
      <c r="A50" s="96"/>
      <c r="B50" s="30"/>
      <c r="C50" s="23"/>
      <c r="D50" s="32"/>
      <c r="E50" s="47"/>
      <c r="F50" s="67"/>
      <c r="G50" s="67"/>
      <c r="H50" s="67"/>
      <c r="I50" s="67"/>
    </row>
    <row r="51" ht="15.75" customHeight="1">
      <c r="A51" s="28" t="s">
        <v>207</v>
      </c>
      <c r="B51" s="30"/>
      <c r="C51" s="23"/>
      <c r="D51" s="32"/>
      <c r="E51" s="47"/>
      <c r="F51" s="67"/>
      <c r="G51" s="67"/>
      <c r="H51" s="67"/>
      <c r="I51" s="67"/>
    </row>
    <row r="52" ht="15.75" customHeight="1">
      <c r="A52" s="23" t="s">
        <v>208</v>
      </c>
      <c r="B52" s="30" t="s">
        <v>209</v>
      </c>
      <c r="C52" s="23" t="s">
        <v>210</v>
      </c>
      <c r="D52" s="32" t="s">
        <v>211</v>
      </c>
      <c r="E52" s="97">
        <f>Comparison!B3</f>
        <v>5</v>
      </c>
      <c r="F52" s="98">
        <f t="shared" ref="F52:I52" si="45">$E52</f>
        <v>5</v>
      </c>
      <c r="G52" s="98">
        <f t="shared" si="45"/>
        <v>5</v>
      </c>
      <c r="H52" s="98">
        <f t="shared" si="45"/>
        <v>5</v>
      </c>
      <c r="I52" s="98">
        <f t="shared" si="45"/>
        <v>5</v>
      </c>
    </row>
    <row r="53" ht="15.75" customHeight="1">
      <c r="A53" s="23" t="s">
        <v>212</v>
      </c>
      <c r="B53" s="30" t="s">
        <v>213</v>
      </c>
      <c r="C53" s="23" t="s">
        <v>214</v>
      </c>
      <c r="D53" s="32" t="s">
        <v>215</v>
      </c>
      <c r="E53" s="97">
        <f>Comparison!B4</f>
        <v>50</v>
      </c>
      <c r="F53" s="98">
        <f t="shared" ref="F53:I53" si="46">$E53</f>
        <v>50</v>
      </c>
      <c r="G53" s="98">
        <f t="shared" si="46"/>
        <v>50</v>
      </c>
      <c r="H53" s="98">
        <f t="shared" si="46"/>
        <v>50</v>
      </c>
      <c r="I53" s="98">
        <f t="shared" si="46"/>
        <v>50</v>
      </c>
    </row>
    <row r="54" ht="15.75" customHeight="1">
      <c r="A54" s="23" t="s">
        <v>216</v>
      </c>
      <c r="B54" s="30" t="s">
        <v>217</v>
      </c>
      <c r="C54" s="23" t="s">
        <v>218</v>
      </c>
      <c r="D54" s="32" t="s">
        <v>219</v>
      </c>
      <c r="E54" s="97">
        <f>Comparison!B5</f>
        <v>6</v>
      </c>
      <c r="F54" s="98">
        <f t="shared" ref="F54:I54" si="47">$E54</f>
        <v>6</v>
      </c>
      <c r="G54" s="98">
        <f t="shared" si="47"/>
        <v>6</v>
      </c>
      <c r="H54" s="98">
        <f t="shared" si="47"/>
        <v>6</v>
      </c>
      <c r="I54" s="98">
        <f t="shared" si="47"/>
        <v>6</v>
      </c>
    </row>
    <row r="55" ht="15.75" customHeight="1">
      <c r="A55" s="23" t="s">
        <v>220</v>
      </c>
      <c r="B55" s="30" t="s">
        <v>221</v>
      </c>
      <c r="C55" s="23" t="s">
        <v>35</v>
      </c>
      <c r="D55" s="32" t="s">
        <v>222</v>
      </c>
      <c r="E55" s="34">
        <f>Comparison!B6</f>
        <v>25000</v>
      </c>
      <c r="F55" s="74">
        <f t="shared" ref="F55:I55" si="48">$E55</f>
        <v>25000</v>
      </c>
      <c r="G55" s="74">
        <f t="shared" si="48"/>
        <v>25000</v>
      </c>
      <c r="H55" s="74">
        <f t="shared" si="48"/>
        <v>25000</v>
      </c>
      <c r="I55" s="74">
        <f t="shared" si="48"/>
        <v>25000</v>
      </c>
    </row>
    <row r="56">
      <c r="A56" s="96"/>
      <c r="B56" s="29"/>
      <c r="D56" s="32"/>
      <c r="E56" s="33"/>
      <c r="F56" s="33"/>
      <c r="G56" s="33"/>
      <c r="H56" s="33"/>
    </row>
    <row r="57">
      <c r="A57" s="28" t="s">
        <v>223</v>
      </c>
      <c r="B57" s="29"/>
      <c r="D57" s="32"/>
      <c r="E57" s="33"/>
      <c r="F57" s="99" t="str">
        <f>'Specification Imaging Modalitie'!E2</f>
        <v>https://www.nature.com/articles/s41467-024-50846-4</v>
      </c>
      <c r="G57" s="33"/>
      <c r="H57" s="33"/>
    </row>
    <row r="58" ht="15.75" customHeight="1" outlineLevel="1">
      <c r="A58" s="6" t="s">
        <v>146</v>
      </c>
      <c r="B58" s="29" t="s">
        <v>147</v>
      </c>
      <c r="C58" s="6" t="s">
        <v>148</v>
      </c>
      <c r="D58" s="40"/>
      <c r="E58" s="38"/>
      <c r="F58" s="42">
        <f>'Specification Imaging Modalitie'!E3</f>
        <v>500000</v>
      </c>
      <c r="G58" s="42">
        <f>'Specification Imaging Modalitie'!F3</f>
        <v>500000</v>
      </c>
      <c r="H58" s="42">
        <f>'Specification Imaging Modalitie'!G3</f>
        <v>500000</v>
      </c>
      <c r="I58" s="38">
        <v>5000000.0</v>
      </c>
    </row>
    <row r="59" ht="15.75" customHeight="1" outlineLevel="1">
      <c r="A59" s="23" t="s">
        <v>149</v>
      </c>
      <c r="B59" s="29" t="s">
        <v>150</v>
      </c>
      <c r="C59" s="6" t="s">
        <v>118</v>
      </c>
      <c r="D59" s="62"/>
      <c r="E59" s="44"/>
      <c r="F59" s="33">
        <f>'Specification Imaging Modalitie'!E4</f>
        <v>10</v>
      </c>
      <c r="G59" s="33">
        <f>'Specification Imaging Modalitie'!F4</f>
        <v>5</v>
      </c>
      <c r="H59" s="33">
        <f>'Specification Imaging Modalitie'!G4</f>
        <v>5</v>
      </c>
      <c r="I59" s="44">
        <v>10.0</v>
      </c>
    </row>
    <row r="60" ht="15.75" customHeight="1" outlineLevel="1">
      <c r="A60" s="23" t="s">
        <v>151</v>
      </c>
      <c r="B60" s="30" t="s">
        <v>152</v>
      </c>
      <c r="C60" s="23" t="s">
        <v>153</v>
      </c>
      <c r="D60" s="32" t="s">
        <v>154</v>
      </c>
      <c r="E60" s="33"/>
      <c r="F60" s="33">
        <f>'Specification Imaging Modalitie'!E5</f>
        <v>225</v>
      </c>
      <c r="G60" s="33">
        <f>'Specification Imaging Modalitie'!F5</f>
        <v>1100</v>
      </c>
      <c r="H60" s="33">
        <f>'Specification Imaging Modalitie'!G5</f>
        <v>1100</v>
      </c>
      <c r="I60" s="33">
        <v>250.0</v>
      </c>
    </row>
    <row r="61" outlineLevel="1">
      <c r="A61" s="23" t="s">
        <v>155</v>
      </c>
      <c r="B61" s="30" t="s">
        <v>156</v>
      </c>
      <c r="D61" s="32" t="s">
        <v>157</v>
      </c>
      <c r="E61" s="33"/>
      <c r="F61" s="33">
        <f>'Specification Imaging Modalitie'!E6</f>
        <v>1</v>
      </c>
      <c r="G61" s="33">
        <f>'Specification Imaging Modalitie'!F6</f>
        <v>3</v>
      </c>
      <c r="H61" s="33">
        <f>'Specification Imaging Modalitie'!G6</f>
        <v>8</v>
      </c>
      <c r="I61" s="33">
        <v>1.0</v>
      </c>
    </row>
    <row r="62" outlineLevel="1">
      <c r="A62" s="23" t="s">
        <v>158</v>
      </c>
      <c r="B62" s="29" t="s">
        <v>159</v>
      </c>
      <c r="C62" s="6" t="s">
        <v>35</v>
      </c>
      <c r="D62" s="32" t="s">
        <v>157</v>
      </c>
      <c r="E62" s="33"/>
      <c r="F62" s="33">
        <f>'Specification Imaging Modalitie'!E7</f>
        <v>1</v>
      </c>
      <c r="G62" s="33">
        <f>'Specification Imaging Modalitie'!F7</f>
        <v>1</v>
      </c>
      <c r="H62" s="33">
        <f>'Specification Imaging Modalitie'!G7</f>
        <v>800</v>
      </c>
      <c r="I62" s="33">
        <v>1.0</v>
      </c>
    </row>
    <row r="63" ht="15.75" customHeight="1" outlineLevel="1">
      <c r="A63" s="6" t="s">
        <v>160</v>
      </c>
      <c r="B63" s="30" t="s">
        <v>161</v>
      </c>
      <c r="C63" s="6" t="s">
        <v>162</v>
      </c>
      <c r="D63" s="63"/>
      <c r="E63" s="38"/>
      <c r="F63" s="42">
        <f>'Specification Imaging Modalitie'!E8</f>
        <v>50000</v>
      </c>
      <c r="G63" s="42">
        <f>'Specification Imaging Modalitie'!F8</f>
        <v>15000</v>
      </c>
      <c r="H63" s="42">
        <f>'Specification Imaging Modalitie'!G8</f>
        <v>15000</v>
      </c>
      <c r="I63" s="38">
        <v>250000.0</v>
      </c>
    </row>
    <row r="64" ht="15.75" customHeight="1" outlineLevel="1">
      <c r="A64" s="23" t="s">
        <v>163</v>
      </c>
      <c r="B64" s="30" t="s">
        <v>164</v>
      </c>
      <c r="C64" s="23" t="s">
        <v>53</v>
      </c>
      <c r="D64" s="32"/>
      <c r="E64" s="37"/>
      <c r="F64" s="42">
        <f>'Specification Imaging Modalitie'!E9</f>
        <v>120000</v>
      </c>
      <c r="G64" s="42">
        <f>'Specification Imaging Modalitie'!F9</f>
        <v>120000</v>
      </c>
      <c r="H64" s="42">
        <f>'Specification Imaging Modalitie'!G9</f>
        <v>120000</v>
      </c>
      <c r="I64" s="37">
        <v>120000.0</v>
      </c>
    </row>
    <row r="65" ht="15.75" customHeight="1" outlineLevel="1">
      <c r="A65" s="23" t="s">
        <v>165</v>
      </c>
      <c r="B65" s="30" t="s">
        <v>166</v>
      </c>
      <c r="C65" s="23" t="s">
        <v>35</v>
      </c>
      <c r="D65" s="62"/>
      <c r="E65" s="44"/>
      <c r="F65" s="33">
        <f>'Specification Imaging Modalitie'!E10</f>
        <v>2</v>
      </c>
      <c r="G65" s="33">
        <f>'Specification Imaging Modalitie'!F10</f>
        <v>5</v>
      </c>
      <c r="H65" s="33">
        <f>'Specification Imaging Modalitie'!G10</f>
        <v>5</v>
      </c>
      <c r="I65" s="44">
        <v>0.5</v>
      </c>
    </row>
    <row r="66" outlineLevel="1">
      <c r="A66" s="6" t="s">
        <v>167</v>
      </c>
      <c r="B66" s="30" t="s">
        <v>168</v>
      </c>
      <c r="C66" s="6" t="s">
        <v>26</v>
      </c>
      <c r="D66" s="30" t="s">
        <v>169</v>
      </c>
      <c r="E66" s="31"/>
      <c r="F66" s="31">
        <f>'Specification Imaging Modalitie'!E11</f>
        <v>1</v>
      </c>
      <c r="G66" s="31">
        <f>'Specification Imaging Modalitie'!F11</f>
        <v>1</v>
      </c>
      <c r="H66" s="31">
        <f>'Specification Imaging Modalitie'!G11</f>
        <v>1</v>
      </c>
      <c r="I66" s="31">
        <v>0.99</v>
      </c>
    </row>
    <row r="67" ht="15.75" customHeight="1" outlineLevel="1">
      <c r="A67" s="6" t="s">
        <v>170</v>
      </c>
      <c r="B67" s="29" t="s">
        <v>171</v>
      </c>
      <c r="C67" s="6" t="s">
        <v>26</v>
      </c>
      <c r="D67" s="30" t="s">
        <v>172</v>
      </c>
      <c r="E67" s="31"/>
      <c r="F67" s="31">
        <f>'Specification Imaging Modalitie'!E12</f>
        <v>0</v>
      </c>
      <c r="G67" s="31">
        <f>'Specification Imaging Modalitie'!F12</f>
        <v>0</v>
      </c>
      <c r="H67" s="31">
        <f>'Specification Imaging Modalitie'!G12</f>
        <v>0</v>
      </c>
      <c r="I67" s="31">
        <v>0.0</v>
      </c>
    </row>
    <row r="68" ht="15.75" customHeight="1" outlineLevel="1">
      <c r="A68" s="6" t="s">
        <v>173</v>
      </c>
      <c r="B68" s="29" t="s">
        <v>174</v>
      </c>
      <c r="C68" s="6" t="s">
        <v>26</v>
      </c>
      <c r="D68" s="30" t="s">
        <v>175</v>
      </c>
      <c r="E68" s="53"/>
      <c r="F68" s="31">
        <f>'Specification Imaging Modalitie'!E13</f>
        <v>1</v>
      </c>
      <c r="G68" s="31">
        <f>'Specification Imaging Modalitie'!F13</f>
        <v>1</v>
      </c>
      <c r="H68" s="31">
        <f>'Specification Imaging Modalitie'!G13</f>
        <v>1</v>
      </c>
      <c r="I68" s="53">
        <v>1.0</v>
      </c>
    </row>
    <row r="69" ht="15.75" customHeight="1" outlineLevel="1">
      <c r="A69" s="6" t="s">
        <v>224</v>
      </c>
      <c r="B69" s="29" t="s">
        <v>225</v>
      </c>
      <c r="C69" s="6" t="s">
        <v>35</v>
      </c>
      <c r="D69" s="100" t="s">
        <v>226</v>
      </c>
      <c r="E69" s="33"/>
      <c r="F69" s="33">
        <f t="shared" ref="F69:I69" si="49">F14/F58</f>
        <v>100</v>
      </c>
      <c r="G69" s="33">
        <f t="shared" si="49"/>
        <v>100</v>
      </c>
      <c r="H69" s="33">
        <f t="shared" si="49"/>
        <v>100</v>
      </c>
      <c r="I69" s="33">
        <f t="shared" si="49"/>
        <v>10</v>
      </c>
    </row>
    <row r="70" ht="15.75" customHeight="1" outlineLevel="1">
      <c r="A70" s="23" t="s">
        <v>227</v>
      </c>
      <c r="B70" s="30" t="s">
        <v>228</v>
      </c>
      <c r="C70" s="23" t="s">
        <v>162</v>
      </c>
      <c r="D70" s="100" t="s">
        <v>226</v>
      </c>
      <c r="E70" s="22"/>
      <c r="F70" s="22">
        <f t="shared" ref="F70:I70" si="50">F64/F65+F63</f>
        <v>110000</v>
      </c>
      <c r="G70" s="22">
        <f t="shared" si="50"/>
        <v>39000</v>
      </c>
      <c r="H70" s="22">
        <f t="shared" si="50"/>
        <v>39000</v>
      </c>
      <c r="I70" s="22">
        <f t="shared" si="50"/>
        <v>490000</v>
      </c>
    </row>
    <row r="71" ht="15.75" customHeight="1" outlineLevel="1">
      <c r="A71" s="23" t="s">
        <v>229</v>
      </c>
      <c r="B71" s="30" t="s">
        <v>230</v>
      </c>
      <c r="C71" s="23" t="s">
        <v>231</v>
      </c>
      <c r="D71" s="100" t="s">
        <v>226</v>
      </c>
      <c r="E71" s="21"/>
      <c r="F71" s="21">
        <f t="shared" ref="F71:I71" si="51">F58+F70</f>
        <v>610000</v>
      </c>
      <c r="G71" s="21">
        <f t="shared" si="51"/>
        <v>539000</v>
      </c>
      <c r="H71" s="21">
        <f t="shared" si="51"/>
        <v>539000</v>
      </c>
      <c r="I71" s="21">
        <f t="shared" si="51"/>
        <v>5490000</v>
      </c>
    </row>
    <row r="72" ht="15.75" customHeight="1" outlineLevel="1">
      <c r="A72" s="23" t="s">
        <v>232</v>
      </c>
      <c r="B72" s="30" t="s">
        <v>233</v>
      </c>
      <c r="C72" s="23" t="s">
        <v>153</v>
      </c>
      <c r="D72" s="100" t="s">
        <v>226</v>
      </c>
      <c r="E72" s="33"/>
      <c r="F72" s="33">
        <f t="shared" ref="F72:I72" si="52">F60/(F62/F61)*F66</f>
        <v>225</v>
      </c>
      <c r="G72" s="33">
        <f t="shared" si="52"/>
        <v>3300</v>
      </c>
      <c r="H72" s="33">
        <f t="shared" si="52"/>
        <v>11</v>
      </c>
      <c r="I72" s="33">
        <f t="shared" si="52"/>
        <v>247.5</v>
      </c>
    </row>
    <row r="73" ht="15.75" customHeight="1" outlineLevel="1">
      <c r="A73" s="23" t="s">
        <v>234</v>
      </c>
      <c r="B73" s="29" t="s">
        <v>235</v>
      </c>
      <c r="C73" s="23" t="s">
        <v>236</v>
      </c>
      <c r="D73" s="100" t="s">
        <v>226</v>
      </c>
      <c r="E73" s="54"/>
      <c r="F73" s="54">
        <f t="shared" ref="F73:I73" si="53">(F72*1000000*86400)/F100</f>
        <v>0.06561</v>
      </c>
      <c r="G73" s="54">
        <f t="shared" si="53"/>
        <v>7128</v>
      </c>
      <c r="H73" s="54">
        <f t="shared" si="53"/>
        <v>23.76</v>
      </c>
      <c r="I73" s="54">
        <f t="shared" si="53"/>
        <v>0.021384</v>
      </c>
    </row>
    <row r="74" ht="15.75" customHeight="1" outlineLevel="1">
      <c r="A74" s="23" t="s">
        <v>237</v>
      </c>
      <c r="B74" s="23" t="s">
        <v>237</v>
      </c>
      <c r="C74" s="23" t="s">
        <v>238</v>
      </c>
      <c r="D74" s="100" t="s">
        <v>226</v>
      </c>
      <c r="E74" s="34"/>
      <c r="F74" s="34">
        <f t="shared" ref="F74:I74" si="54">F59*365*24*60*60*F72*1000000</f>
        <v>7.0956E+16</v>
      </c>
      <c r="G74" s="34">
        <f t="shared" si="54"/>
        <v>5.20344E+17</v>
      </c>
      <c r="H74" s="34">
        <f t="shared" si="54"/>
        <v>1.73448E+15</v>
      </c>
      <c r="I74" s="34">
        <f t="shared" si="54"/>
        <v>7.80516E+16</v>
      </c>
    </row>
    <row r="75" ht="15.75" customHeight="1" outlineLevel="1">
      <c r="A75" s="23" t="s">
        <v>239</v>
      </c>
      <c r="B75" s="30"/>
      <c r="C75" s="23" t="s">
        <v>240</v>
      </c>
      <c r="D75" s="100" t="s">
        <v>226</v>
      </c>
      <c r="E75" s="33"/>
      <c r="F75" s="33">
        <f t="shared" ref="F75:I75" si="55">F74/F71</f>
        <v>116321311475</v>
      </c>
      <c r="G75" s="33">
        <f t="shared" si="55"/>
        <v>965387755102</v>
      </c>
      <c r="H75" s="33">
        <f t="shared" si="55"/>
        <v>3217959184</v>
      </c>
      <c r="I75" s="33">
        <f t="shared" si="55"/>
        <v>14217049180</v>
      </c>
    </row>
    <row r="76" ht="15.75" customHeight="1" outlineLevel="1">
      <c r="A76" s="23" t="s">
        <v>241</v>
      </c>
      <c r="B76" s="30"/>
      <c r="C76" s="23" t="s">
        <v>242</v>
      </c>
      <c r="D76" s="100" t="s">
        <v>226</v>
      </c>
      <c r="E76" s="42"/>
      <c r="F76" s="42">
        <f t="shared" ref="F76:I76" si="56">F100/F75</f>
        <v>2547.222796</v>
      </c>
      <c r="G76" s="42">
        <f t="shared" si="56"/>
        <v>0.04143412819</v>
      </c>
      <c r="H76" s="42">
        <f t="shared" si="56"/>
        <v>12.43023846</v>
      </c>
      <c r="I76" s="42">
        <f t="shared" si="56"/>
        <v>70338.08404</v>
      </c>
    </row>
    <row r="77" ht="15.75" customHeight="1" outlineLevel="1">
      <c r="A77" s="23" t="s">
        <v>243</v>
      </c>
      <c r="B77" s="30"/>
      <c r="C77" s="23" t="s">
        <v>244</v>
      </c>
      <c r="D77" s="100" t="s">
        <v>226</v>
      </c>
      <c r="E77" s="42"/>
      <c r="F77" s="42">
        <f t="shared" ref="F77:I77" si="57">F76*F98</f>
        <v>2801.945076</v>
      </c>
      <c r="G77" s="42">
        <f t="shared" si="57"/>
        <v>186.685608</v>
      </c>
      <c r="H77" s="42">
        <f t="shared" si="57"/>
        <v>56005.68239</v>
      </c>
      <c r="I77" s="42">
        <f t="shared" si="57"/>
        <v>77371.89244</v>
      </c>
    </row>
    <row r="78" ht="15.75" customHeight="1">
      <c r="A78" s="96"/>
      <c r="B78" s="29"/>
      <c r="D78" s="35"/>
      <c r="E78" s="33"/>
      <c r="F78" s="33"/>
      <c r="G78" s="33"/>
      <c r="H78" s="33"/>
      <c r="I78" s="33"/>
    </row>
    <row r="79" ht="15.75" customHeight="1">
      <c r="A79" s="28" t="s">
        <v>245</v>
      </c>
      <c r="B79" s="29"/>
      <c r="D79" s="35"/>
      <c r="E79" s="33"/>
      <c r="F79" s="33"/>
      <c r="G79" s="33"/>
      <c r="H79" s="33"/>
      <c r="I79" s="33"/>
    </row>
    <row r="80" outlineLevel="1">
      <c r="A80" s="6" t="s">
        <v>176</v>
      </c>
      <c r="B80" s="29" t="s">
        <v>177</v>
      </c>
      <c r="C80" s="6" t="s">
        <v>99</v>
      </c>
      <c r="D80" s="32" t="s">
        <v>246</v>
      </c>
      <c r="E80" s="33"/>
      <c r="F80" s="33">
        <f>'Specification Imaging Modalitie'!E14</f>
        <v>1</v>
      </c>
      <c r="G80" s="33">
        <f>'Specification Imaging Modalitie'!F14</f>
        <v>16</v>
      </c>
      <c r="H80" s="33">
        <f>'Specification Imaging Modalitie'!G14</f>
        <v>16</v>
      </c>
      <c r="I80" s="33">
        <f>'Specification Imaging Modalitie'!H14</f>
        <v>1</v>
      </c>
    </row>
    <row r="81" ht="15.75" customHeight="1" outlineLevel="1">
      <c r="A81" s="23" t="s">
        <v>179</v>
      </c>
      <c r="B81" s="30" t="s">
        <v>180</v>
      </c>
      <c r="C81" s="23" t="s">
        <v>181</v>
      </c>
      <c r="D81" s="40" t="s">
        <v>247</v>
      </c>
      <c r="E81" s="38"/>
      <c r="F81" s="42">
        <f>'Specification Imaging Modalitie'!E15</f>
        <v>100000</v>
      </c>
      <c r="G81" s="42">
        <f>'Specification Imaging Modalitie'!F15</f>
        <v>2</v>
      </c>
      <c r="H81" s="42">
        <f>'Specification Imaging Modalitie'!G15</f>
        <v>2</v>
      </c>
      <c r="I81" s="42">
        <f>'Specification Imaging Modalitie'!H15</f>
        <v>200000</v>
      </c>
    </row>
    <row r="82" ht="15.75" customHeight="1" outlineLevel="1">
      <c r="A82" s="23" t="s">
        <v>183</v>
      </c>
      <c r="B82" s="30"/>
      <c r="C82" s="23" t="s">
        <v>181</v>
      </c>
      <c r="D82" s="40" t="s">
        <v>184</v>
      </c>
      <c r="E82" s="38"/>
      <c r="F82" s="42">
        <f>'Specification Imaging Modalitie'!E16</f>
        <v>2</v>
      </c>
      <c r="G82" s="42">
        <f>'Specification Imaging Modalitie'!F16</f>
        <v>2</v>
      </c>
      <c r="H82" s="42">
        <f>'Specification Imaging Modalitie'!G16</f>
        <v>2</v>
      </c>
      <c r="I82" s="42">
        <f>'Specification Imaging Modalitie'!H16</f>
        <v>2</v>
      </c>
    </row>
    <row r="83" ht="15.75" customHeight="1" outlineLevel="1">
      <c r="A83" s="23" t="s">
        <v>185</v>
      </c>
      <c r="B83" s="30"/>
      <c r="C83" s="23" t="s">
        <v>181</v>
      </c>
      <c r="D83" s="40" t="s">
        <v>186</v>
      </c>
      <c r="E83" s="38"/>
      <c r="F83" s="37">
        <f>'Specification Imaging Modalitie'!E17</f>
        <v>2850</v>
      </c>
      <c r="G83" s="37">
        <f>'Specification Imaging Modalitie'!F17</f>
        <v>2850</v>
      </c>
      <c r="H83" s="37">
        <f>'Specification Imaging Modalitie'!G17</f>
        <v>2850</v>
      </c>
      <c r="I83" s="37">
        <f>'Specification Imaging Modalitie'!H17</f>
        <v>2850</v>
      </c>
    </row>
    <row r="84" ht="15.75" customHeight="1" outlineLevel="1">
      <c r="A84" s="23" t="s">
        <v>187</v>
      </c>
      <c r="B84" s="29" t="s">
        <v>188</v>
      </c>
      <c r="C84" s="6" t="s">
        <v>189</v>
      </c>
      <c r="D84" s="64" t="s">
        <v>190</v>
      </c>
      <c r="E84" s="44"/>
      <c r="F84" s="33">
        <f>'Specification Imaging Modalitie'!E18</f>
        <v>15</v>
      </c>
      <c r="G84" s="33">
        <f>'Specification Imaging Modalitie'!F18</f>
        <v>15</v>
      </c>
      <c r="H84" s="33">
        <f>'Specification Imaging Modalitie'!G18</f>
        <v>15</v>
      </c>
      <c r="I84" s="33">
        <f>'Specification Imaging Modalitie'!H18</f>
        <v>15</v>
      </c>
    </row>
    <row r="85" outlineLevel="1">
      <c r="A85" s="6" t="s">
        <v>191</v>
      </c>
      <c r="B85" s="29" t="s">
        <v>192</v>
      </c>
      <c r="C85" s="6" t="s">
        <v>193</v>
      </c>
      <c r="D85" s="32"/>
      <c r="E85" s="33"/>
      <c r="F85" s="33">
        <f>'Specification Imaging Modalitie'!E19</f>
        <v>15</v>
      </c>
      <c r="G85" s="33">
        <f>'Specification Imaging Modalitie'!F19</f>
        <v>250</v>
      </c>
      <c r="H85" s="33">
        <f>'Specification Imaging Modalitie'!G19</f>
        <v>250</v>
      </c>
      <c r="I85" s="33">
        <f>'Specification Imaging Modalitie'!H19</f>
        <v>10</v>
      </c>
      <c r="L85" s="58"/>
    </row>
    <row r="86" outlineLevel="1">
      <c r="A86" s="6" t="s">
        <v>194</v>
      </c>
      <c r="B86" s="29" t="s">
        <v>195</v>
      </c>
      <c r="C86" s="6" t="s">
        <v>193</v>
      </c>
      <c r="D86" s="62"/>
      <c r="E86" s="33"/>
      <c r="F86" s="33">
        <f>'Specification Imaging Modalitie'!E20</f>
        <v>15</v>
      </c>
      <c r="G86" s="33">
        <f>'Specification Imaging Modalitie'!F20</f>
        <v>250</v>
      </c>
      <c r="H86" s="33">
        <f>'Specification Imaging Modalitie'!G20</f>
        <v>250</v>
      </c>
      <c r="I86" s="33">
        <f>'Specification Imaging Modalitie'!H20</f>
        <v>10</v>
      </c>
    </row>
    <row r="87" outlineLevel="1">
      <c r="A87" s="6" t="s">
        <v>196</v>
      </c>
      <c r="B87" s="29" t="s">
        <v>197</v>
      </c>
      <c r="C87" s="6" t="s">
        <v>193</v>
      </c>
      <c r="D87" s="62"/>
      <c r="E87" s="33"/>
      <c r="F87" s="33">
        <f>'Specification Imaging Modalitie'!E21</f>
        <v>15</v>
      </c>
      <c r="G87" s="33">
        <f>'Specification Imaging Modalitie'!F21</f>
        <v>400</v>
      </c>
      <c r="H87" s="33">
        <f>'Specification Imaging Modalitie'!G21</f>
        <v>400</v>
      </c>
      <c r="I87" s="33">
        <f>'Specification Imaging Modalitie'!H21</f>
        <v>10</v>
      </c>
    </row>
    <row r="88" outlineLevel="1">
      <c r="A88" s="23" t="s">
        <v>198</v>
      </c>
      <c r="B88" s="30" t="s">
        <v>199</v>
      </c>
      <c r="C88" s="23" t="s">
        <v>35</v>
      </c>
      <c r="D88" s="32" t="s">
        <v>200</v>
      </c>
      <c r="E88" s="33"/>
      <c r="F88" s="33">
        <f>'Specification Imaging Modalitie'!E22</f>
        <v>1</v>
      </c>
      <c r="G88" s="33">
        <f>'Specification Imaging Modalitie'!F22</f>
        <v>10000</v>
      </c>
      <c r="H88" s="33">
        <f>'Specification Imaging Modalitie'!G22</f>
        <v>10000</v>
      </c>
      <c r="I88" s="33">
        <f>'Specification Imaging Modalitie'!H22</f>
        <v>1</v>
      </c>
      <c r="L88" s="58"/>
    </row>
    <row r="89" outlineLevel="1">
      <c r="A89" s="23" t="s">
        <v>201</v>
      </c>
      <c r="B89" s="29"/>
      <c r="C89" s="23" t="s">
        <v>202</v>
      </c>
      <c r="D89" s="32" t="s">
        <v>203</v>
      </c>
      <c r="E89" s="33"/>
      <c r="F89" s="33">
        <f>'Specification Imaging Modalitie'!E23</f>
        <v>6000</v>
      </c>
      <c r="G89" s="33">
        <f>'Specification Imaging Modalitie'!F23</f>
        <v>2048</v>
      </c>
      <c r="H89" s="33">
        <f>'Specification Imaging Modalitie'!G23</f>
        <v>5000</v>
      </c>
      <c r="I89" s="33">
        <f>'Specification Imaging Modalitie'!H23</f>
        <v>5000</v>
      </c>
    </row>
    <row r="90" outlineLevel="1">
      <c r="A90" s="23" t="s">
        <v>204</v>
      </c>
      <c r="B90" s="29"/>
      <c r="C90" s="23" t="s">
        <v>202</v>
      </c>
      <c r="D90" s="62"/>
      <c r="E90" s="33"/>
      <c r="F90" s="33">
        <f>'Specification Imaging Modalitie'!E24</f>
        <v>6000</v>
      </c>
      <c r="G90" s="33">
        <f>'Specification Imaging Modalitie'!F24</f>
        <v>2048</v>
      </c>
      <c r="H90" s="33">
        <f>'Specification Imaging Modalitie'!G24</f>
        <v>5000</v>
      </c>
      <c r="I90" s="33">
        <f>'Specification Imaging Modalitie'!H24</f>
        <v>5000</v>
      </c>
    </row>
    <row r="91" outlineLevel="1">
      <c r="A91" s="6" t="s">
        <v>205</v>
      </c>
      <c r="B91" s="29" t="s">
        <v>248</v>
      </c>
      <c r="C91" s="6" t="s">
        <v>106</v>
      </c>
      <c r="D91" s="101"/>
      <c r="E91" s="53"/>
      <c r="F91" s="31">
        <f>'Specification Imaging Modalitie'!E25</f>
        <v>0.1</v>
      </c>
      <c r="G91" s="31">
        <f>'Specification Imaging Modalitie'!F25</f>
        <v>0.1</v>
      </c>
      <c r="H91" s="31">
        <f>'Specification Imaging Modalitie'!G25</f>
        <v>0.1</v>
      </c>
      <c r="I91" s="31">
        <f>'Specification Imaging Modalitie'!H25</f>
        <v>0.1</v>
      </c>
    </row>
    <row r="92" outlineLevel="1">
      <c r="A92" s="23" t="s">
        <v>249</v>
      </c>
      <c r="B92" s="29"/>
      <c r="C92" s="23" t="s">
        <v>193</v>
      </c>
      <c r="D92" s="62"/>
      <c r="E92" s="33"/>
      <c r="F92" s="33">
        <f t="shared" ref="F92:I92" si="58">F85/F80</f>
        <v>15</v>
      </c>
      <c r="G92" s="33">
        <f t="shared" si="58"/>
        <v>15.625</v>
      </c>
      <c r="H92" s="33">
        <f t="shared" si="58"/>
        <v>15.625</v>
      </c>
      <c r="I92" s="33">
        <f t="shared" si="58"/>
        <v>10</v>
      </c>
    </row>
    <row r="93" outlineLevel="1">
      <c r="A93" s="23" t="s">
        <v>250</v>
      </c>
      <c r="B93" s="29"/>
      <c r="C93" s="23" t="s">
        <v>193</v>
      </c>
      <c r="D93" s="62"/>
      <c r="E93" s="33"/>
      <c r="F93" s="33">
        <f t="shared" ref="F93:I93" si="59">F86/F80</f>
        <v>15</v>
      </c>
      <c r="G93" s="33">
        <f t="shared" si="59"/>
        <v>15.625</v>
      </c>
      <c r="H93" s="33">
        <f t="shared" si="59"/>
        <v>15.625</v>
      </c>
      <c r="I93" s="33">
        <f t="shared" si="59"/>
        <v>10</v>
      </c>
    </row>
    <row r="94" outlineLevel="1">
      <c r="A94" s="23" t="s">
        <v>251</v>
      </c>
      <c r="B94" s="29"/>
      <c r="C94" s="23" t="s">
        <v>193</v>
      </c>
      <c r="D94" s="62"/>
      <c r="E94" s="33"/>
      <c r="F94" s="33">
        <f t="shared" ref="F94:I94" si="60">F87/F80</f>
        <v>15</v>
      </c>
      <c r="G94" s="33">
        <f t="shared" si="60"/>
        <v>25</v>
      </c>
      <c r="H94" s="33">
        <f t="shared" si="60"/>
        <v>25</v>
      </c>
      <c r="I94" s="33">
        <f t="shared" si="60"/>
        <v>10</v>
      </c>
    </row>
    <row r="95" outlineLevel="1">
      <c r="A95" s="23" t="s">
        <v>252</v>
      </c>
      <c r="B95" s="29" t="s">
        <v>253</v>
      </c>
      <c r="C95" s="23" t="s">
        <v>254</v>
      </c>
      <c r="D95" s="29"/>
      <c r="F95" s="6">
        <f t="shared" ref="F95:I95" si="61">F92*F89/1000</f>
        <v>90</v>
      </c>
      <c r="G95" s="6">
        <f t="shared" si="61"/>
        <v>32</v>
      </c>
      <c r="H95" s="6">
        <f t="shared" si="61"/>
        <v>78.125</v>
      </c>
      <c r="I95" s="6">
        <f t="shared" si="61"/>
        <v>50</v>
      </c>
    </row>
    <row r="96" outlineLevel="1">
      <c r="A96" s="23" t="s">
        <v>255</v>
      </c>
      <c r="B96" s="29" t="s">
        <v>253</v>
      </c>
      <c r="C96" s="23" t="s">
        <v>254</v>
      </c>
      <c r="D96" s="29"/>
      <c r="F96" s="6">
        <f t="shared" ref="F96:I96" si="62">F93*F90/1000</f>
        <v>90</v>
      </c>
      <c r="G96" s="6">
        <f t="shared" si="62"/>
        <v>32</v>
      </c>
      <c r="H96" s="6">
        <f t="shared" si="62"/>
        <v>78.125</v>
      </c>
      <c r="I96" s="6">
        <f t="shared" si="62"/>
        <v>50</v>
      </c>
    </row>
    <row r="97" outlineLevel="1">
      <c r="A97" s="23" t="s">
        <v>256</v>
      </c>
      <c r="B97" s="29" t="s">
        <v>253</v>
      </c>
      <c r="C97" s="23" t="s">
        <v>254</v>
      </c>
      <c r="D97" s="29"/>
      <c r="F97" s="6">
        <f t="shared" ref="F97:I97" si="63">F94/1000</f>
        <v>0.015</v>
      </c>
      <c r="G97" s="6">
        <f t="shared" si="63"/>
        <v>0.025</v>
      </c>
      <c r="H97" s="6">
        <f t="shared" si="63"/>
        <v>0.025</v>
      </c>
      <c r="I97" s="6">
        <f t="shared" si="63"/>
        <v>0.01</v>
      </c>
    </row>
    <row r="98" ht="15.75" customHeight="1" outlineLevel="1">
      <c r="A98" s="23" t="s">
        <v>257</v>
      </c>
      <c r="B98" s="29"/>
      <c r="C98" s="23" t="s">
        <v>258</v>
      </c>
      <c r="D98" s="62"/>
      <c r="E98" s="51"/>
      <c r="F98" s="51">
        <f t="shared" ref="F98:I98" si="64">F80^3*(1+F91)</f>
        <v>1.1</v>
      </c>
      <c r="G98" s="51">
        <f t="shared" si="64"/>
        <v>4505.6</v>
      </c>
      <c r="H98" s="51">
        <f t="shared" si="64"/>
        <v>4505.6</v>
      </c>
      <c r="I98" s="51">
        <f t="shared" si="64"/>
        <v>1.1</v>
      </c>
    </row>
    <row r="99" ht="15.75" customHeight="1" outlineLevel="1">
      <c r="A99" s="6" t="s">
        <v>259</v>
      </c>
      <c r="B99" s="29" t="s">
        <v>260</v>
      </c>
      <c r="C99" s="23" t="s">
        <v>261</v>
      </c>
      <c r="D99" s="62"/>
      <c r="E99" s="54"/>
      <c r="F99" s="54">
        <f t="shared" ref="F99:I99" si="65">F9*POWER(F80,3)*(1+F67)</f>
        <v>500</v>
      </c>
      <c r="G99" s="54">
        <f t="shared" si="65"/>
        <v>2048000</v>
      </c>
      <c r="H99" s="54">
        <f t="shared" si="65"/>
        <v>2048000</v>
      </c>
      <c r="I99" s="54">
        <f t="shared" si="65"/>
        <v>500</v>
      </c>
    </row>
    <row r="100" ht="15.75" customHeight="1" outlineLevel="1">
      <c r="A100" s="23" t="s">
        <v>262</v>
      </c>
      <c r="B100" s="29" t="str">
        <f> 10^18 / (nx*ny*nz)</f>
        <v>#NAME?</v>
      </c>
      <c r="C100" s="23" t="s">
        <v>263</v>
      </c>
      <c r="D100" s="102"/>
      <c r="E100" s="55"/>
      <c r="F100" s="55">
        <f t="shared" ref="F100:I100" si="66">1000000000000000000/(F85*F86*F87)</f>
        <v>296296296296296</v>
      </c>
      <c r="G100" s="55">
        <f t="shared" si="66"/>
        <v>40000000000</v>
      </c>
      <c r="H100" s="55">
        <f t="shared" si="66"/>
        <v>40000000000</v>
      </c>
      <c r="I100" s="55">
        <f t="shared" si="66"/>
        <v>1E+15</v>
      </c>
    </row>
    <row r="101" ht="15.75" customHeight="1" outlineLevel="1">
      <c r="A101" s="23" t="s">
        <v>264</v>
      </c>
      <c r="B101" s="29" t="str">
        <f> 10^3 / (nx*ny*nz)</f>
        <v>#NAME?</v>
      </c>
      <c r="C101" s="23" t="s">
        <v>265</v>
      </c>
      <c r="D101" s="62"/>
      <c r="E101" s="56"/>
      <c r="F101" s="56">
        <f t="shared" ref="F101:I101" si="67">F100/1000000000000000</f>
        <v>0.2962962963</v>
      </c>
      <c r="G101" s="56">
        <f t="shared" si="67"/>
        <v>0.00004</v>
      </c>
      <c r="H101" s="56">
        <f t="shared" si="67"/>
        <v>0.00004</v>
      </c>
      <c r="I101" s="56">
        <f t="shared" si="67"/>
        <v>1</v>
      </c>
    </row>
    <row r="102" ht="15.75" customHeight="1" outlineLevel="1">
      <c r="A102" s="6" t="s">
        <v>266</v>
      </c>
      <c r="B102" s="29" t="s">
        <v>267</v>
      </c>
      <c r="C102" s="6" t="s">
        <v>268</v>
      </c>
      <c r="D102" s="62"/>
      <c r="E102" s="57"/>
      <c r="F102" s="57">
        <f t="shared" ref="F102:I102" si="68">F101*F99</f>
        <v>148.1481481</v>
      </c>
      <c r="G102" s="57">
        <f t="shared" si="68"/>
        <v>81.92</v>
      </c>
      <c r="H102" s="57">
        <f t="shared" si="68"/>
        <v>81.92</v>
      </c>
      <c r="I102" s="57">
        <f t="shared" si="68"/>
        <v>500</v>
      </c>
    </row>
    <row r="103" ht="15.75" customHeight="1" outlineLevel="1">
      <c r="A103" s="23" t="s">
        <v>269</v>
      </c>
      <c r="B103" s="29"/>
      <c r="C103" s="23" t="s">
        <v>35</v>
      </c>
      <c r="D103" s="62"/>
      <c r="E103" s="51"/>
      <c r="F103" s="51">
        <f t="shared" ref="F103:I103" si="69">F102/(F95*F96*F97/1000000000)/F88</f>
        <v>1219326322</v>
      </c>
      <c r="G103" s="51">
        <f t="shared" si="69"/>
        <v>320000</v>
      </c>
      <c r="H103" s="51">
        <f t="shared" si="69"/>
        <v>53687.0912</v>
      </c>
      <c r="I103" s="51">
        <f t="shared" si="69"/>
        <v>20000000000</v>
      </c>
    </row>
    <row r="104" ht="15.75" customHeight="1" outlineLevel="1">
      <c r="A104" s="23" t="s">
        <v>270</v>
      </c>
      <c r="B104" s="29"/>
      <c r="C104" s="23" t="s">
        <v>35</v>
      </c>
      <c r="D104" s="62"/>
      <c r="E104" s="51"/>
      <c r="F104" s="51">
        <f t="shared" ref="F104:I104" si="70">F103/F102</f>
        <v>8230452.675</v>
      </c>
      <c r="G104" s="51">
        <f t="shared" si="70"/>
        <v>3906.25</v>
      </c>
      <c r="H104" s="51">
        <f t="shared" si="70"/>
        <v>655.36</v>
      </c>
      <c r="I104" s="51">
        <f t="shared" si="70"/>
        <v>40000000</v>
      </c>
    </row>
    <row r="105" ht="15.75" customHeight="1" outlineLevel="1">
      <c r="A105" s="23" t="s">
        <v>271</v>
      </c>
      <c r="B105" s="30"/>
      <c r="C105" s="23" t="s">
        <v>181</v>
      </c>
      <c r="D105" s="40"/>
      <c r="E105" s="21"/>
      <c r="F105" s="21">
        <f t="shared" ref="F105:I105" si="71">F81+F83+F82*(F62-1)</f>
        <v>102850</v>
      </c>
      <c r="G105" s="21">
        <f t="shared" si="71"/>
        <v>2852</v>
      </c>
      <c r="H105" s="21">
        <f t="shared" si="71"/>
        <v>4450</v>
      </c>
      <c r="I105" s="21">
        <f t="shared" si="71"/>
        <v>202850</v>
      </c>
    </row>
    <row r="106" ht="15.75" customHeight="1">
      <c r="A106" s="96"/>
      <c r="B106" s="29"/>
      <c r="D106" s="29"/>
    </row>
    <row r="107" ht="15.75" customHeight="1">
      <c r="A107" s="96" t="s">
        <v>272</v>
      </c>
      <c r="B107" s="29"/>
      <c r="D107" s="29"/>
    </row>
    <row r="108" ht="15.75" customHeight="1" outlineLevel="1">
      <c r="A108" s="28" t="s">
        <v>273</v>
      </c>
      <c r="B108" s="29"/>
      <c r="D108" s="29"/>
    </row>
    <row r="109" ht="15.75" customHeight="1" outlineLevel="1">
      <c r="A109" s="6" t="s">
        <v>274</v>
      </c>
      <c r="B109" s="30" t="s">
        <v>275</v>
      </c>
      <c r="C109" s="6" t="s">
        <v>276</v>
      </c>
      <c r="D109" s="43" t="s">
        <v>277</v>
      </c>
      <c r="E109" s="55"/>
      <c r="F109" s="55">
        <f t="shared" ref="F109:I109" si="72">F100*F33</f>
        <v>296296296296296</v>
      </c>
      <c r="G109" s="55">
        <f t="shared" si="72"/>
        <v>40000000000</v>
      </c>
      <c r="H109" s="55">
        <f t="shared" si="72"/>
        <v>40000000000</v>
      </c>
      <c r="I109" s="55">
        <f t="shared" si="72"/>
        <v>1E+15</v>
      </c>
    </row>
    <row r="110" ht="15.75" customHeight="1" outlineLevel="1">
      <c r="A110" s="23" t="s">
        <v>278</v>
      </c>
      <c r="B110" s="29"/>
      <c r="C110" s="23" t="s">
        <v>279</v>
      </c>
      <c r="D110" s="32" t="s">
        <v>226</v>
      </c>
      <c r="E110" s="56"/>
      <c r="F110" s="56">
        <f t="shared" ref="F110:I110" si="73">F109/1000000000000000</f>
        <v>0.2962962963</v>
      </c>
      <c r="G110" s="56">
        <f t="shared" si="73"/>
        <v>0.00004</v>
      </c>
      <c r="H110" s="56">
        <f t="shared" si="73"/>
        <v>0.00004</v>
      </c>
      <c r="I110" s="56">
        <f t="shared" si="73"/>
        <v>1</v>
      </c>
    </row>
    <row r="111" ht="15.75" customHeight="1" outlineLevel="1">
      <c r="A111" s="23" t="s">
        <v>280</v>
      </c>
      <c r="B111" s="29" t="s">
        <v>281</v>
      </c>
      <c r="C111" s="23" t="s">
        <v>282</v>
      </c>
      <c r="D111" s="32" t="s">
        <v>226</v>
      </c>
      <c r="E111" s="57"/>
      <c r="F111" s="57">
        <f t="shared" ref="F111:I111" si="74">F109*F99/1000000000000000</f>
        <v>148.1481481</v>
      </c>
      <c r="G111" s="57">
        <f t="shared" si="74"/>
        <v>81.92</v>
      </c>
      <c r="H111" s="57">
        <f t="shared" si="74"/>
        <v>81.92</v>
      </c>
      <c r="I111" s="57">
        <f t="shared" si="74"/>
        <v>500</v>
      </c>
    </row>
    <row r="112" ht="15.75" customHeight="1" outlineLevel="1">
      <c r="A112" s="23" t="s">
        <v>283</v>
      </c>
      <c r="B112" s="30" t="s">
        <v>284</v>
      </c>
      <c r="C112" s="23" t="s">
        <v>282</v>
      </c>
      <c r="D112" s="32" t="s">
        <v>226</v>
      </c>
      <c r="E112" s="57"/>
      <c r="F112" s="57">
        <f t="shared" ref="F112:I112" si="75">IF(F35=0,0,(F111/F35)+(F111*F36))</f>
        <v>8.641975309</v>
      </c>
      <c r="G112" s="57">
        <f t="shared" si="75"/>
        <v>4.778666667</v>
      </c>
      <c r="H112" s="57">
        <f t="shared" si="75"/>
        <v>4.778666667</v>
      </c>
      <c r="I112" s="57">
        <f t="shared" si="75"/>
        <v>29.16666667</v>
      </c>
    </row>
    <row r="113" ht="15.75" customHeight="1" outlineLevel="1">
      <c r="A113" s="23" t="s">
        <v>285</v>
      </c>
      <c r="B113" s="30" t="s">
        <v>286</v>
      </c>
      <c r="C113" s="23" t="s">
        <v>282</v>
      </c>
      <c r="D113" s="32" t="s">
        <v>226</v>
      </c>
      <c r="E113" s="57"/>
      <c r="F113" s="57">
        <f t="shared" ref="F113:I113" si="76">IF(F34=0,0,F111/F34+F36*F111)</f>
        <v>106.1728395</v>
      </c>
      <c r="G113" s="57">
        <f t="shared" si="76"/>
        <v>58.70933333</v>
      </c>
      <c r="H113" s="57">
        <f t="shared" si="76"/>
        <v>58.70933333</v>
      </c>
      <c r="I113" s="57">
        <f t="shared" si="76"/>
        <v>358.3333333</v>
      </c>
    </row>
    <row r="114" ht="15.75" customHeight="1" outlineLevel="1">
      <c r="A114" s="28" t="s">
        <v>287</v>
      </c>
      <c r="B114" s="30"/>
      <c r="C114" s="23"/>
      <c r="D114" s="32"/>
      <c r="E114" s="49"/>
      <c r="F114" s="49"/>
      <c r="G114" s="49"/>
      <c r="H114" s="49"/>
      <c r="I114" s="49"/>
    </row>
    <row r="115" ht="15.75" customHeight="1" outlineLevel="1">
      <c r="A115" s="23" t="s">
        <v>288</v>
      </c>
      <c r="B115" s="30" t="s">
        <v>289</v>
      </c>
      <c r="C115" s="23" t="s">
        <v>290</v>
      </c>
      <c r="D115" s="32" t="s">
        <v>67</v>
      </c>
      <c r="E115" s="103"/>
      <c r="F115" s="103">
        <f t="shared" ref="F115:I115" si="77">(F43*60*60*24)/(F48*F104)</f>
        <v>0.0369328896</v>
      </c>
      <c r="G115" s="103">
        <f t="shared" si="77"/>
        <v>77.8174464</v>
      </c>
      <c r="H115" s="103">
        <f t="shared" si="77"/>
        <v>463.828125</v>
      </c>
      <c r="I115" s="103">
        <f t="shared" si="77"/>
        <v>0.00759936</v>
      </c>
    </row>
    <row r="116" ht="15.75" customHeight="1" outlineLevel="1">
      <c r="A116" s="23" t="s">
        <v>291</v>
      </c>
      <c r="B116" s="30" t="s">
        <v>292</v>
      </c>
      <c r="C116" s="23" t="s">
        <v>290</v>
      </c>
      <c r="D116" s="32" t="s">
        <v>67</v>
      </c>
      <c r="E116" s="103"/>
      <c r="F116" s="103">
        <f t="shared" ref="F116:I116" si="78">(F43*60*60*24)/(F49*1000000000000000)</f>
        <v>0.0569952</v>
      </c>
      <c r="G116" s="103">
        <f t="shared" si="78"/>
        <v>0.0569952</v>
      </c>
      <c r="H116" s="103">
        <f t="shared" si="78"/>
        <v>0.0569952</v>
      </c>
      <c r="I116" s="103">
        <f t="shared" si="78"/>
        <v>0.0569952</v>
      </c>
    </row>
    <row r="117" ht="15.75" customHeight="1" outlineLevel="1">
      <c r="A117" s="6" t="s">
        <v>293</v>
      </c>
      <c r="B117" s="30" t="s">
        <v>294</v>
      </c>
      <c r="C117" s="6" t="s">
        <v>295</v>
      </c>
      <c r="D117" s="32" t="s">
        <v>67</v>
      </c>
      <c r="E117" s="38"/>
      <c r="F117" s="38">
        <f t="shared" ref="F117:I117" si="79">F15*F122*24*F44/F9</f>
        <v>1299.654604</v>
      </c>
      <c r="G117" s="38">
        <f t="shared" si="79"/>
        <v>0.6168282592</v>
      </c>
      <c r="H117" s="38">
        <f t="shared" si="79"/>
        <v>0.1034866094</v>
      </c>
      <c r="I117" s="38">
        <f t="shared" si="79"/>
        <v>6316.321374</v>
      </c>
    </row>
    <row r="118" ht="15.75" customHeight="1" outlineLevel="1">
      <c r="A118" s="6" t="s">
        <v>296</v>
      </c>
      <c r="B118" s="29" t="s">
        <v>297</v>
      </c>
      <c r="C118" s="6" t="s">
        <v>295</v>
      </c>
      <c r="D118" s="32" t="s">
        <v>67</v>
      </c>
      <c r="E118" s="38"/>
      <c r="F118" s="38">
        <f t="shared" ref="F118:I118" si="80">F15*F123*F44*24/F102</f>
        <v>2842.344618</v>
      </c>
      <c r="G118" s="38">
        <f t="shared" si="80"/>
        <v>5140.235494</v>
      </c>
      <c r="H118" s="38">
        <f t="shared" si="80"/>
        <v>5140.235494</v>
      </c>
      <c r="I118" s="38">
        <f t="shared" si="80"/>
        <v>842.1761833</v>
      </c>
    </row>
    <row r="119" ht="15.75" customHeight="1" outlineLevel="1">
      <c r="A119" s="6" t="s">
        <v>298</v>
      </c>
      <c r="B119" s="29" t="s">
        <v>299</v>
      </c>
      <c r="C119" s="6" t="s">
        <v>295</v>
      </c>
      <c r="D119" s="32" t="s">
        <v>67</v>
      </c>
      <c r="E119" s="38"/>
      <c r="F119" s="38">
        <f t="shared" ref="F119:I119" si="81">F53*F52*F10/F9</f>
        <v>35000000</v>
      </c>
      <c r="G119" s="38">
        <f t="shared" si="81"/>
        <v>35000000</v>
      </c>
      <c r="H119" s="38">
        <f t="shared" si="81"/>
        <v>35000000</v>
      </c>
      <c r="I119" s="38">
        <f t="shared" si="81"/>
        <v>35000000</v>
      </c>
    </row>
    <row r="120" ht="15.75" customHeight="1" outlineLevel="1">
      <c r="A120" s="28" t="s">
        <v>300</v>
      </c>
      <c r="B120" s="29"/>
      <c r="D120" s="29"/>
    </row>
    <row r="121" ht="15.75" customHeight="1" outlineLevel="1">
      <c r="A121" s="6" t="s">
        <v>301</v>
      </c>
      <c r="B121" s="30" t="s">
        <v>302</v>
      </c>
      <c r="C121" s="6" t="s">
        <v>189</v>
      </c>
      <c r="D121" s="32" t="s">
        <v>67</v>
      </c>
      <c r="E121" s="57"/>
      <c r="F121" s="57">
        <f t="shared" ref="F121:I121" si="82">IF(F73*F69=0,0,F99/(F73*F69)+F84)</f>
        <v>91.20789514</v>
      </c>
      <c r="G121" s="57">
        <f t="shared" si="82"/>
        <v>17.87317621</v>
      </c>
      <c r="H121" s="57">
        <f t="shared" si="82"/>
        <v>876.952862</v>
      </c>
      <c r="I121" s="57">
        <f t="shared" si="82"/>
        <v>2353.196783</v>
      </c>
    </row>
    <row r="122" ht="15.75" customHeight="1" outlineLevel="1">
      <c r="A122" s="23" t="s">
        <v>303</v>
      </c>
      <c r="B122" s="29"/>
      <c r="C122" s="6" t="s">
        <v>189</v>
      </c>
      <c r="D122" s="32" t="s">
        <v>67</v>
      </c>
      <c r="E122" s="57"/>
      <c r="F122" s="57">
        <f t="shared" ref="F122:I122" si="83">F9/(F115*F15)</f>
        <v>13.53806879</v>
      </c>
      <c r="G122" s="57">
        <f t="shared" si="83"/>
        <v>0.006425294367</v>
      </c>
      <c r="H122" s="57">
        <f t="shared" si="83"/>
        <v>0.001077985515</v>
      </c>
      <c r="I122" s="57">
        <f t="shared" si="83"/>
        <v>65.79501432</v>
      </c>
    </row>
    <row r="123" ht="15.75" customHeight="1" outlineLevel="1">
      <c r="A123" s="23" t="s">
        <v>304</v>
      </c>
      <c r="B123" s="29"/>
      <c r="C123" s="6" t="s">
        <v>189</v>
      </c>
      <c r="D123" s="32" t="s">
        <v>67</v>
      </c>
      <c r="E123" s="57"/>
      <c r="F123" s="57">
        <f t="shared" ref="F123:I123" si="84">F9/(F116*F15)</f>
        <v>8.772668576</v>
      </c>
      <c r="G123" s="57">
        <f t="shared" si="84"/>
        <v>8.772668576</v>
      </c>
      <c r="H123" s="57">
        <f t="shared" si="84"/>
        <v>8.772668576</v>
      </c>
      <c r="I123" s="57">
        <f t="shared" si="84"/>
        <v>8.772668576</v>
      </c>
    </row>
    <row r="124" ht="15.75" customHeight="1" outlineLevel="1">
      <c r="A124" s="23" t="s">
        <v>305</v>
      </c>
      <c r="B124" s="29" t="s">
        <v>306</v>
      </c>
      <c r="C124" s="6" t="s">
        <v>189</v>
      </c>
      <c r="D124" s="32" t="s">
        <v>67</v>
      </c>
      <c r="E124" s="57"/>
      <c r="F124" s="57">
        <f t="shared" ref="F124:I124" si="85">SUM(F122:F123)</f>
        <v>22.31073737</v>
      </c>
      <c r="G124" s="57">
        <f t="shared" si="85"/>
        <v>8.77909387</v>
      </c>
      <c r="H124" s="57">
        <f t="shared" si="85"/>
        <v>8.773746561</v>
      </c>
      <c r="I124" s="57">
        <f t="shared" si="85"/>
        <v>74.56768289</v>
      </c>
    </row>
    <row r="125" ht="15.75" customHeight="1" outlineLevel="1">
      <c r="A125" s="23" t="s">
        <v>307</v>
      </c>
      <c r="B125" s="29"/>
      <c r="C125" s="23" t="s">
        <v>189</v>
      </c>
      <c r="D125" s="32" t="s">
        <v>67</v>
      </c>
      <c r="E125" s="44"/>
      <c r="F125" s="44">
        <f t="shared" ref="F125:I125" si="86">F10*F52/(F55*F54)</f>
        <v>2333.333333</v>
      </c>
      <c r="G125" s="44">
        <f t="shared" si="86"/>
        <v>2333.333333</v>
      </c>
      <c r="H125" s="44">
        <f t="shared" si="86"/>
        <v>2333.333333</v>
      </c>
      <c r="I125" s="44">
        <f t="shared" si="86"/>
        <v>2333.333333</v>
      </c>
    </row>
    <row r="126" ht="15.75" customHeight="1" outlineLevel="1">
      <c r="A126" s="6" t="s">
        <v>308</v>
      </c>
      <c r="B126" s="30" t="s">
        <v>309</v>
      </c>
      <c r="C126" s="6" t="s">
        <v>189</v>
      </c>
      <c r="D126" s="32" t="s">
        <v>67</v>
      </c>
      <c r="E126" s="57"/>
      <c r="F126" s="57">
        <f t="shared" ref="F126:I126" si="87">F84+F121+F124+F125</f>
        <v>2461.851966</v>
      </c>
      <c r="G126" s="57">
        <f t="shared" si="87"/>
        <v>2374.985603</v>
      </c>
      <c r="H126" s="57">
        <f t="shared" si="87"/>
        <v>3234.059942</v>
      </c>
      <c r="I126" s="57">
        <f t="shared" si="87"/>
        <v>4776.097799</v>
      </c>
    </row>
    <row r="127" ht="15.75" customHeight="1" outlineLevel="1">
      <c r="A127" s="6" t="s">
        <v>310</v>
      </c>
      <c r="B127" s="30" t="s">
        <v>311</v>
      </c>
      <c r="C127" s="6" t="s">
        <v>189</v>
      </c>
      <c r="D127" s="32" t="s">
        <v>67</v>
      </c>
      <c r="E127" s="57"/>
      <c r="F127" s="57">
        <f t="shared" ref="F127:I127" si="88">MAX(F125,F124,F121)</f>
        <v>2333.333333</v>
      </c>
      <c r="G127" s="57">
        <f t="shared" si="88"/>
        <v>2333.333333</v>
      </c>
      <c r="H127" s="57">
        <f t="shared" si="88"/>
        <v>2333.333333</v>
      </c>
      <c r="I127" s="57">
        <f t="shared" si="88"/>
        <v>2353.196783</v>
      </c>
    </row>
    <row r="128" ht="15.75" customHeight="1" outlineLevel="1">
      <c r="A128" s="28" t="s">
        <v>312</v>
      </c>
      <c r="B128" s="29"/>
      <c r="D128" s="29"/>
    </row>
    <row r="129" ht="15.75" customHeight="1" outlineLevel="1">
      <c r="A129" s="23" t="s">
        <v>313</v>
      </c>
      <c r="B129" s="29"/>
      <c r="C129" s="6" t="s">
        <v>63</v>
      </c>
      <c r="D129" s="32" t="s">
        <v>67</v>
      </c>
      <c r="E129" s="21"/>
      <c r="F129" s="21">
        <f t="shared" ref="F129:I129" si="89">F9*F105</f>
        <v>51425000</v>
      </c>
      <c r="G129" s="21">
        <f t="shared" si="89"/>
        <v>1426000</v>
      </c>
      <c r="H129" s="21">
        <f t="shared" si="89"/>
        <v>2225000</v>
      </c>
      <c r="I129" s="21">
        <f t="shared" si="89"/>
        <v>101425000</v>
      </c>
    </row>
    <row r="130" ht="15.75" customHeight="1" outlineLevel="1">
      <c r="A130" s="23" t="s">
        <v>314</v>
      </c>
      <c r="B130" s="29"/>
      <c r="C130" s="6" t="s">
        <v>63</v>
      </c>
      <c r="D130" s="32" t="s">
        <v>67</v>
      </c>
      <c r="E130" s="21"/>
      <c r="F130" s="21">
        <f t="shared" ref="F130:I130" si="90">F70*F69*F151</f>
        <v>2748731.086</v>
      </c>
      <c r="G130" s="21">
        <f t="shared" si="90"/>
        <v>190973.6636</v>
      </c>
      <c r="H130" s="21">
        <f t="shared" si="90"/>
        <v>9370181.265</v>
      </c>
      <c r="I130" s="21">
        <f t="shared" si="90"/>
        <v>31590860.92</v>
      </c>
    </row>
    <row r="131" ht="15.75" customHeight="1" outlineLevel="1">
      <c r="A131" s="23" t="s">
        <v>315</v>
      </c>
      <c r="B131" s="29"/>
      <c r="C131" s="6" t="s">
        <v>63</v>
      </c>
      <c r="D131" s="32" t="s">
        <v>67</v>
      </c>
      <c r="E131" s="21"/>
      <c r="F131" s="21">
        <f t="shared" ref="F131:I131" si="91">SUM(F129:F130)</f>
        <v>54173731.09</v>
      </c>
      <c r="G131" s="21">
        <f t="shared" si="91"/>
        <v>1616973.664</v>
      </c>
      <c r="H131" s="21">
        <f t="shared" si="91"/>
        <v>11595181.26</v>
      </c>
      <c r="I131" s="21">
        <f t="shared" si="91"/>
        <v>133015860.9</v>
      </c>
    </row>
    <row r="132" ht="15.75" customHeight="1" outlineLevel="1">
      <c r="A132" s="23" t="s">
        <v>316</v>
      </c>
      <c r="B132" s="29" t="s">
        <v>317</v>
      </c>
      <c r="C132" s="6" t="s">
        <v>63</v>
      </c>
      <c r="D132" s="32" t="s">
        <v>67</v>
      </c>
      <c r="E132" s="21"/>
      <c r="F132" s="21">
        <f t="shared" ref="F132:I132" si="92">F112*F37*F41*F45</f>
        <v>4083333.333</v>
      </c>
      <c r="G132" s="21">
        <f t="shared" si="92"/>
        <v>2257920</v>
      </c>
      <c r="H132" s="21">
        <f t="shared" si="92"/>
        <v>2257920</v>
      </c>
      <c r="I132" s="21">
        <f t="shared" si="92"/>
        <v>13781250</v>
      </c>
    </row>
    <row r="133" ht="15.75" customHeight="1" outlineLevel="1">
      <c r="A133" s="23" t="s">
        <v>318</v>
      </c>
      <c r="B133" s="29" t="s">
        <v>319</v>
      </c>
      <c r="C133" s="6" t="s">
        <v>63</v>
      </c>
      <c r="D133" s="32" t="s">
        <v>67</v>
      </c>
      <c r="E133" s="21"/>
      <c r="F133" s="21">
        <f t="shared" ref="F133:I133" si="93">F113*F38*F42*F46</f>
        <v>50962962.96</v>
      </c>
      <c r="G133" s="21">
        <f t="shared" si="93"/>
        <v>28180480</v>
      </c>
      <c r="H133" s="21">
        <f t="shared" si="93"/>
        <v>28180480</v>
      </c>
      <c r="I133" s="21">
        <f t="shared" si="93"/>
        <v>172000000</v>
      </c>
    </row>
    <row r="134" ht="15.75" customHeight="1" outlineLevel="1">
      <c r="A134" s="23" t="s">
        <v>320</v>
      </c>
      <c r="B134" s="29"/>
      <c r="C134" s="6" t="s">
        <v>63</v>
      </c>
      <c r="D134" s="32" t="s">
        <v>67</v>
      </c>
      <c r="E134" s="21"/>
      <c r="F134" s="21">
        <f t="shared" ref="F134:I134" si="94">F133+F132</f>
        <v>55046296.3</v>
      </c>
      <c r="G134" s="21">
        <f t="shared" si="94"/>
        <v>30438400</v>
      </c>
      <c r="H134" s="21">
        <f t="shared" si="94"/>
        <v>30438400</v>
      </c>
      <c r="I134" s="21">
        <f t="shared" si="94"/>
        <v>185781250</v>
      </c>
    </row>
    <row r="135" ht="15.75" customHeight="1" outlineLevel="1">
      <c r="A135" s="23" t="s">
        <v>321</v>
      </c>
      <c r="B135" s="29" t="s">
        <v>317</v>
      </c>
      <c r="C135" s="6" t="s">
        <v>63</v>
      </c>
      <c r="D135" s="32" t="s">
        <v>67</v>
      </c>
      <c r="E135" s="21"/>
      <c r="F135" s="21">
        <f t="shared" ref="F135:I135" si="95">F112*F39*F41*F45</f>
        <v>1361111.111</v>
      </c>
      <c r="G135" s="21">
        <f t="shared" si="95"/>
        <v>752640</v>
      </c>
      <c r="H135" s="21">
        <f t="shared" si="95"/>
        <v>752640</v>
      </c>
      <c r="I135" s="21">
        <f t="shared" si="95"/>
        <v>4593750</v>
      </c>
    </row>
    <row r="136" ht="15.75" customHeight="1" outlineLevel="1">
      <c r="A136" s="23" t="s">
        <v>322</v>
      </c>
      <c r="B136" s="29" t="s">
        <v>319</v>
      </c>
      <c r="C136" s="6" t="s">
        <v>63</v>
      </c>
      <c r="D136" s="32" t="s">
        <v>67</v>
      </c>
      <c r="E136" s="21"/>
      <c r="F136" s="21">
        <f t="shared" ref="F136:I136" si="96">F113*F40*F42*F46</f>
        <v>0</v>
      </c>
      <c r="G136" s="21">
        <f t="shared" si="96"/>
        <v>0</v>
      </c>
      <c r="H136" s="21">
        <f t="shared" si="96"/>
        <v>0</v>
      </c>
      <c r="I136" s="21">
        <f t="shared" si="96"/>
        <v>0</v>
      </c>
    </row>
    <row r="137" ht="15.75" customHeight="1" outlineLevel="1">
      <c r="A137" s="23" t="s">
        <v>323</v>
      </c>
      <c r="B137" s="29"/>
      <c r="C137" s="6" t="s">
        <v>63</v>
      </c>
      <c r="D137" s="32" t="s">
        <v>67</v>
      </c>
      <c r="E137" s="21"/>
      <c r="F137" s="21">
        <f t="shared" ref="F137:I137" si="97">F136+F135</f>
        <v>1361111.111</v>
      </c>
      <c r="G137" s="21">
        <f t="shared" si="97"/>
        <v>752640</v>
      </c>
      <c r="H137" s="21">
        <f t="shared" si="97"/>
        <v>752640</v>
      </c>
      <c r="I137" s="21">
        <f t="shared" si="97"/>
        <v>4593750</v>
      </c>
    </row>
    <row r="138" ht="15.75" customHeight="1" outlineLevel="1">
      <c r="A138" s="23" t="s">
        <v>324</v>
      </c>
      <c r="B138" s="29" t="s">
        <v>325</v>
      </c>
      <c r="C138" s="6" t="s">
        <v>63</v>
      </c>
      <c r="D138" s="32" t="s">
        <v>67</v>
      </c>
      <c r="E138" s="21"/>
      <c r="F138" s="21">
        <f t="shared" ref="F138:I138" si="98">F102*F117</f>
        <v>192541.4228</v>
      </c>
      <c r="G138" s="21">
        <f t="shared" si="98"/>
        <v>50.530571</v>
      </c>
      <c r="H138" s="21">
        <f t="shared" si="98"/>
        <v>8.477623042</v>
      </c>
      <c r="I138" s="21">
        <f t="shared" si="98"/>
        <v>3158160.687</v>
      </c>
    </row>
    <row r="139" ht="15.75" customHeight="1" outlineLevel="1">
      <c r="A139" s="23" t="s">
        <v>326</v>
      </c>
      <c r="B139" s="29" t="s">
        <v>325</v>
      </c>
      <c r="C139" s="6" t="s">
        <v>63</v>
      </c>
      <c r="D139" s="32" t="s">
        <v>67</v>
      </c>
      <c r="E139" s="21"/>
      <c r="F139" s="21">
        <f t="shared" ref="F139:I139" si="99">F102*F118</f>
        <v>421088.0916</v>
      </c>
      <c r="G139" s="21">
        <f t="shared" si="99"/>
        <v>421088.0916</v>
      </c>
      <c r="H139" s="21">
        <f t="shared" si="99"/>
        <v>421088.0916</v>
      </c>
      <c r="I139" s="21">
        <f t="shared" si="99"/>
        <v>421088.0916</v>
      </c>
    </row>
    <row r="140" ht="15.75" customHeight="1" outlineLevel="1">
      <c r="A140" s="23" t="s">
        <v>327</v>
      </c>
      <c r="B140" s="29"/>
      <c r="C140" s="6" t="s">
        <v>63</v>
      </c>
      <c r="D140" s="32" t="s">
        <v>67</v>
      </c>
      <c r="E140" s="21"/>
      <c r="F140" s="21">
        <f t="shared" ref="F140:I140" si="100">F139+F138</f>
        <v>613629.5144</v>
      </c>
      <c r="G140" s="21">
        <f t="shared" si="100"/>
        <v>421138.6222</v>
      </c>
      <c r="H140" s="21">
        <f t="shared" si="100"/>
        <v>421096.5693</v>
      </c>
      <c r="I140" s="21">
        <f t="shared" si="100"/>
        <v>3579248.779</v>
      </c>
    </row>
    <row r="141" ht="15.75" customHeight="1" outlineLevel="1">
      <c r="A141" s="6" t="s">
        <v>328</v>
      </c>
      <c r="B141" s="29" t="s">
        <v>325</v>
      </c>
      <c r="C141" s="6" t="s">
        <v>63</v>
      </c>
      <c r="D141" s="32" t="s">
        <v>67</v>
      </c>
      <c r="E141" s="21"/>
      <c r="F141" s="21">
        <f t="shared" ref="F141:I141" si="101">F102*F119</f>
        <v>5185185185</v>
      </c>
      <c r="G141" s="21">
        <f t="shared" si="101"/>
        <v>2867200000</v>
      </c>
      <c r="H141" s="21">
        <f t="shared" si="101"/>
        <v>2867200000</v>
      </c>
      <c r="I141" s="21">
        <f t="shared" si="101"/>
        <v>17500000000</v>
      </c>
    </row>
    <row r="142" ht="15.75" customHeight="1" outlineLevel="1">
      <c r="A142" s="23" t="s">
        <v>329</v>
      </c>
      <c r="B142" s="29"/>
      <c r="C142" s="23" t="s">
        <v>63</v>
      </c>
      <c r="D142" s="32" t="s">
        <v>67</v>
      </c>
      <c r="E142" s="21"/>
      <c r="F142" s="21">
        <f t="shared" ref="F142:I142" si="102">SUM(F18:F20)*F17*F13/F148</f>
        <v>26250000</v>
      </c>
      <c r="G142" s="21">
        <f t="shared" si="102"/>
        <v>26250000</v>
      </c>
      <c r="H142" s="21">
        <f t="shared" si="102"/>
        <v>26250000</v>
      </c>
      <c r="I142" s="21">
        <f t="shared" si="102"/>
        <v>26250000</v>
      </c>
    </row>
    <row r="143" ht="15.75" customHeight="1" outlineLevel="1">
      <c r="A143" s="23" t="s">
        <v>61</v>
      </c>
      <c r="B143" s="29" t="s">
        <v>62</v>
      </c>
      <c r="C143" s="23" t="s">
        <v>63</v>
      </c>
      <c r="D143" s="32" t="s">
        <v>67</v>
      </c>
      <c r="E143" s="21"/>
      <c r="F143" s="21">
        <f t="shared" ref="F143:I143" si="103">F21</f>
        <v>250000</v>
      </c>
      <c r="G143" s="21">
        <f t="shared" si="103"/>
        <v>250000</v>
      </c>
      <c r="H143" s="21">
        <f t="shared" si="103"/>
        <v>250000</v>
      </c>
      <c r="I143" s="21">
        <f t="shared" si="103"/>
        <v>250000</v>
      </c>
    </row>
    <row r="144" ht="15.75" customHeight="1" outlineLevel="1">
      <c r="A144" s="23" t="s">
        <v>330</v>
      </c>
      <c r="B144" s="29" t="s">
        <v>331</v>
      </c>
      <c r="C144" s="23" t="s">
        <v>63</v>
      </c>
      <c r="D144" s="32" t="s">
        <v>67</v>
      </c>
      <c r="E144" s="21"/>
      <c r="F144" s="21">
        <f t="shared" ref="F144:I144" si="104">SUM(F143,F142,F141,F140,F137,F131)</f>
        <v>5267833657</v>
      </c>
      <c r="G144" s="21">
        <f t="shared" si="104"/>
        <v>2896490752</v>
      </c>
      <c r="H144" s="21">
        <f t="shared" si="104"/>
        <v>2906468918</v>
      </c>
      <c r="I144" s="21">
        <f t="shared" si="104"/>
        <v>17667688860</v>
      </c>
    </row>
    <row r="145" ht="15.75" customHeight="1">
      <c r="A145" s="104"/>
      <c r="B145" s="105"/>
      <c r="C145" s="106"/>
      <c r="D145" s="105"/>
      <c r="E145" s="107"/>
      <c r="F145" s="107"/>
      <c r="G145" s="107"/>
      <c r="H145" s="107"/>
      <c r="I145" s="107"/>
      <c r="J145" s="105"/>
      <c r="K145" s="105"/>
      <c r="L145" s="105"/>
      <c r="M145" s="105"/>
      <c r="N145" s="105"/>
      <c r="O145" s="105"/>
      <c r="P145" s="105"/>
      <c r="Q145" s="105"/>
      <c r="R145" s="105"/>
      <c r="S145" s="105"/>
      <c r="T145" s="105"/>
      <c r="U145" s="105"/>
      <c r="V145" s="105"/>
      <c r="W145" s="105"/>
      <c r="X145" s="105"/>
      <c r="Y145" s="105"/>
      <c r="Z145" s="105"/>
      <c r="AA145" s="105"/>
      <c r="AB145" s="105"/>
    </row>
    <row r="146" ht="15.75" customHeight="1">
      <c r="A146" s="104" t="s">
        <v>332</v>
      </c>
      <c r="B146" s="105"/>
      <c r="C146" s="106"/>
      <c r="D146" s="105"/>
      <c r="E146" s="107"/>
      <c r="F146" s="107"/>
      <c r="G146" s="107"/>
      <c r="H146" s="107"/>
      <c r="I146" s="107"/>
      <c r="J146" s="105"/>
      <c r="K146" s="105"/>
      <c r="L146" s="105"/>
      <c r="M146" s="105"/>
      <c r="N146" s="105"/>
      <c r="O146" s="105"/>
      <c r="P146" s="105"/>
      <c r="Q146" s="105"/>
      <c r="R146" s="105"/>
      <c r="S146" s="105"/>
      <c r="T146" s="105"/>
      <c r="U146" s="105"/>
      <c r="V146" s="105"/>
      <c r="W146" s="105"/>
      <c r="X146" s="105"/>
      <c r="Y146" s="105"/>
      <c r="Z146" s="105"/>
      <c r="AA146" s="105"/>
      <c r="AB146" s="105"/>
    </row>
    <row r="147" ht="15.75" customHeight="1">
      <c r="A147" s="23" t="s">
        <v>333</v>
      </c>
      <c r="B147" s="29"/>
      <c r="C147" s="23" t="s">
        <v>40</v>
      </c>
      <c r="D147" s="32" t="s">
        <v>67</v>
      </c>
      <c r="F147" s="15">
        <f t="shared" ref="F147:I147" si="105">F13</f>
        <v>5</v>
      </c>
      <c r="G147" s="15">
        <f t="shared" si="105"/>
        <v>5</v>
      </c>
      <c r="H147" s="15">
        <f t="shared" si="105"/>
        <v>5</v>
      </c>
      <c r="I147" s="15">
        <f t="shared" si="105"/>
        <v>5</v>
      </c>
    </row>
    <row r="148" ht="15.75" customHeight="1">
      <c r="A148" s="23" t="s">
        <v>334</v>
      </c>
      <c r="B148" s="29"/>
      <c r="C148" s="23" t="s">
        <v>35</v>
      </c>
      <c r="D148" s="32" t="s">
        <v>67</v>
      </c>
      <c r="F148" s="6">
        <f t="shared" ref="F148:I148" si="106">ROUND(F13/MAX(F151:F154),0)</f>
        <v>1</v>
      </c>
      <c r="G148" s="6">
        <f t="shared" si="106"/>
        <v>1</v>
      </c>
      <c r="H148" s="6">
        <f t="shared" si="106"/>
        <v>1</v>
      </c>
      <c r="I148" s="6">
        <f t="shared" si="106"/>
        <v>1</v>
      </c>
    </row>
    <row r="149" ht="15.75" customHeight="1">
      <c r="A149" s="23" t="s">
        <v>335</v>
      </c>
      <c r="B149" s="29"/>
      <c r="C149" s="23" t="s">
        <v>46</v>
      </c>
      <c r="D149" s="32" t="s">
        <v>67</v>
      </c>
      <c r="F149" s="22">
        <f t="shared" ref="F149:I149" si="107">F164*F148</f>
        <v>6453922610</v>
      </c>
      <c r="G149" s="22">
        <f t="shared" si="107"/>
        <v>3579511815</v>
      </c>
      <c r="H149" s="22">
        <f t="shared" si="107"/>
        <v>3591485613</v>
      </c>
      <c r="I149" s="22">
        <f t="shared" si="107"/>
        <v>21486751632</v>
      </c>
    </row>
    <row r="150" ht="15.75" customHeight="1">
      <c r="A150" s="108" t="s">
        <v>336</v>
      </c>
      <c r="B150" s="105"/>
      <c r="C150" s="106"/>
      <c r="D150" s="105"/>
      <c r="E150" s="107"/>
      <c r="F150" s="107"/>
      <c r="G150" s="107"/>
      <c r="H150" s="107"/>
      <c r="I150" s="107"/>
      <c r="J150" s="105"/>
      <c r="K150" s="105"/>
      <c r="L150" s="105"/>
      <c r="M150" s="105"/>
      <c r="N150" s="105"/>
      <c r="O150" s="105"/>
      <c r="P150" s="105"/>
      <c r="Q150" s="105"/>
      <c r="R150" s="105"/>
      <c r="S150" s="105"/>
      <c r="T150" s="105"/>
      <c r="U150" s="105"/>
      <c r="V150" s="105"/>
      <c r="W150" s="105"/>
      <c r="X150" s="105"/>
      <c r="Y150" s="105"/>
      <c r="Z150" s="105"/>
      <c r="AA150" s="105"/>
      <c r="AB150" s="105"/>
    </row>
    <row r="151" ht="15.75" customHeight="1">
      <c r="A151" s="23" t="s">
        <v>337</v>
      </c>
      <c r="B151" s="29"/>
      <c r="C151" s="23" t="s">
        <v>40</v>
      </c>
      <c r="D151" s="32" t="s">
        <v>67</v>
      </c>
      <c r="E151" s="54"/>
      <c r="F151" s="17">
        <f t="shared" ref="F151:I151" si="108">F121/365</f>
        <v>0.2498846442</v>
      </c>
      <c r="G151" s="17">
        <f t="shared" si="108"/>
        <v>0.04896760605</v>
      </c>
      <c r="H151" s="17">
        <f t="shared" si="108"/>
        <v>2.402610581</v>
      </c>
      <c r="I151" s="17">
        <f t="shared" si="108"/>
        <v>6.447114473</v>
      </c>
    </row>
    <row r="152" ht="15.75" customHeight="1">
      <c r="A152" s="23" t="s">
        <v>338</v>
      </c>
      <c r="B152" s="29"/>
      <c r="C152" s="23" t="s">
        <v>40</v>
      </c>
      <c r="D152" s="32" t="s">
        <v>67</v>
      </c>
      <c r="E152" s="54"/>
      <c r="F152" s="17">
        <f t="shared" ref="F152:I152" si="109">F124/365</f>
        <v>0.06112530785</v>
      </c>
      <c r="G152" s="17">
        <f t="shared" si="109"/>
        <v>0.02405231197</v>
      </c>
      <c r="H152" s="17">
        <f t="shared" si="109"/>
        <v>0.02403766181</v>
      </c>
      <c r="I152" s="17">
        <f t="shared" si="109"/>
        <v>0.2042950216</v>
      </c>
    </row>
    <row r="153" ht="15.75" customHeight="1">
      <c r="A153" s="23" t="s">
        <v>339</v>
      </c>
      <c r="B153" s="29"/>
      <c r="C153" s="23" t="s">
        <v>40</v>
      </c>
      <c r="D153" s="32" t="s">
        <v>67</v>
      </c>
      <c r="E153" s="54"/>
      <c r="F153" s="17">
        <f t="shared" ref="F153:I153" si="110">F125/365</f>
        <v>6.392694064</v>
      </c>
      <c r="G153" s="17">
        <f t="shared" si="110"/>
        <v>6.392694064</v>
      </c>
      <c r="H153" s="17">
        <f t="shared" si="110"/>
        <v>6.392694064</v>
      </c>
      <c r="I153" s="17">
        <f t="shared" si="110"/>
        <v>6.392694064</v>
      </c>
    </row>
    <row r="154" ht="15.75" customHeight="1">
      <c r="A154" s="23" t="s">
        <v>340</v>
      </c>
      <c r="B154" s="29"/>
      <c r="C154" s="23" t="s">
        <v>40</v>
      </c>
      <c r="D154" s="32" t="s">
        <v>67</v>
      </c>
      <c r="E154" s="54"/>
      <c r="F154" s="17">
        <f t="shared" ref="F154:I154" si="111">SUM(F151:F153)*F7</f>
        <v>1.340740803</v>
      </c>
      <c r="G154" s="17">
        <f t="shared" si="111"/>
        <v>1.293142796</v>
      </c>
      <c r="H154" s="17">
        <f t="shared" si="111"/>
        <v>1.763868461</v>
      </c>
      <c r="I154" s="17">
        <f t="shared" si="111"/>
        <v>2.608820712</v>
      </c>
    </row>
    <row r="155" ht="15.75" customHeight="1">
      <c r="A155" s="23" t="s">
        <v>341</v>
      </c>
      <c r="B155" s="29"/>
      <c r="C155" s="23" t="s">
        <v>40</v>
      </c>
      <c r="D155" s="32" t="s">
        <v>67</v>
      </c>
      <c r="F155" s="17">
        <f t="shared" ref="F155:I155" si="112">SUM(F151:F154)</f>
        <v>8.044444819</v>
      </c>
      <c r="G155" s="17">
        <f t="shared" si="112"/>
        <v>7.758856778</v>
      </c>
      <c r="H155" s="17">
        <f t="shared" si="112"/>
        <v>10.58321077</v>
      </c>
      <c r="I155" s="17">
        <f t="shared" si="112"/>
        <v>15.65292427</v>
      </c>
    </row>
    <row r="156" ht="15.75" customHeight="1">
      <c r="A156" s="23" t="s">
        <v>342</v>
      </c>
      <c r="B156" s="29"/>
      <c r="C156" s="23" t="s">
        <v>40</v>
      </c>
      <c r="D156" s="32" t="s">
        <v>67</v>
      </c>
      <c r="F156" s="17">
        <f t="shared" ref="F156:I156" si="113">Max(F151:F153)</f>
        <v>6.392694064</v>
      </c>
      <c r="G156" s="17">
        <f t="shared" si="113"/>
        <v>6.392694064</v>
      </c>
      <c r="H156" s="17">
        <f t="shared" si="113"/>
        <v>6.392694064</v>
      </c>
      <c r="I156" s="17">
        <f t="shared" si="113"/>
        <v>6.447114473</v>
      </c>
    </row>
    <row r="157" ht="15.75" customHeight="1">
      <c r="A157" s="28" t="s">
        <v>343</v>
      </c>
      <c r="B157" s="29"/>
      <c r="D157" s="29"/>
    </row>
    <row r="158" ht="15.75" customHeight="1">
      <c r="A158" s="23" t="s">
        <v>344</v>
      </c>
      <c r="B158" s="29"/>
      <c r="C158" s="23" t="s">
        <v>46</v>
      </c>
      <c r="D158" s="32" t="s">
        <v>67</v>
      </c>
      <c r="E158" s="22"/>
      <c r="F158" s="22">
        <f t="shared" ref="F158:I158" si="114">IF(F$148-1&gt;0,(F167+F176*(F$148-1))/F$148,F167)</f>
        <v>109173731.1</v>
      </c>
      <c r="G158" s="22">
        <f t="shared" si="114"/>
        <v>56616973.66</v>
      </c>
      <c r="H158" s="22">
        <f t="shared" si="114"/>
        <v>66595181.26</v>
      </c>
      <c r="I158" s="22">
        <f t="shared" si="114"/>
        <v>188015860.9</v>
      </c>
    </row>
    <row r="159" ht="15.75" customHeight="1">
      <c r="A159" s="23" t="s">
        <v>345</v>
      </c>
      <c r="B159" s="29"/>
      <c r="C159" s="23" t="s">
        <v>46</v>
      </c>
      <c r="D159" s="32" t="s">
        <v>67</v>
      </c>
      <c r="E159" s="22"/>
      <c r="F159" s="22">
        <f t="shared" ref="F159:I159" si="115">IF(F$148-1&gt;0,(F168+F177*(F$148-1))/F$148,F168)</f>
        <v>55046296.3</v>
      </c>
      <c r="G159" s="22">
        <f t="shared" si="115"/>
        <v>30438400</v>
      </c>
      <c r="H159" s="22">
        <f t="shared" si="115"/>
        <v>30438400</v>
      </c>
      <c r="I159" s="22">
        <f t="shared" si="115"/>
        <v>185781250</v>
      </c>
    </row>
    <row r="160" ht="15.75" customHeight="1">
      <c r="A160" s="23" t="s">
        <v>346</v>
      </c>
      <c r="B160" s="29"/>
      <c r="C160" s="23" t="s">
        <v>46</v>
      </c>
      <c r="D160" s="32" t="s">
        <v>67</v>
      </c>
      <c r="E160" s="22"/>
      <c r="F160" s="22">
        <f t="shared" ref="F160:I160" si="116">IF(F$148-1&gt;0,(F169+F178*(F$148-1))/F$148,F169)</f>
        <v>2613629.514</v>
      </c>
      <c r="G160" s="22">
        <f t="shared" si="116"/>
        <v>2421138.622</v>
      </c>
      <c r="H160" s="22">
        <f t="shared" si="116"/>
        <v>2421096.569</v>
      </c>
      <c r="I160" s="22">
        <f t="shared" si="116"/>
        <v>5579248.779</v>
      </c>
    </row>
    <row r="161" ht="15.75" customHeight="1">
      <c r="A161" s="23" t="s">
        <v>347</v>
      </c>
      <c r="B161" s="29"/>
      <c r="C161" s="23" t="s">
        <v>46</v>
      </c>
      <c r="D161" s="32" t="s">
        <v>67</v>
      </c>
      <c r="E161" s="22"/>
      <c r="F161" s="22">
        <f t="shared" ref="F161:I161" si="117">IF(F$148-1&gt;0,(F170+F179*(F$148-1))/F$148,F170)</f>
        <v>5185185185</v>
      </c>
      <c r="G161" s="22">
        <f t="shared" si="117"/>
        <v>2867200000</v>
      </c>
      <c r="H161" s="22">
        <f t="shared" si="117"/>
        <v>2867200000</v>
      </c>
      <c r="I161" s="22">
        <f t="shared" si="117"/>
        <v>17500000000</v>
      </c>
    </row>
    <row r="162" ht="15.75" customHeight="1">
      <c r="A162" s="23" t="s">
        <v>348</v>
      </c>
      <c r="B162" s="29"/>
      <c r="C162" s="23" t="s">
        <v>46</v>
      </c>
      <c r="D162" s="32" t="s">
        <v>67</v>
      </c>
      <c r="E162" s="22"/>
      <c r="F162" s="22">
        <f t="shared" ref="F162:I162" si="118">IF(F$148-1&gt;0,(F171+F180*(F$148-1))/F$148,F171)</f>
        <v>26250000</v>
      </c>
      <c r="G162" s="22">
        <f t="shared" si="118"/>
        <v>26250000</v>
      </c>
      <c r="H162" s="22">
        <f t="shared" si="118"/>
        <v>26250000</v>
      </c>
      <c r="I162" s="22">
        <f t="shared" si="118"/>
        <v>26250000</v>
      </c>
    </row>
    <row r="163" ht="15.75" customHeight="1">
      <c r="A163" s="23" t="s">
        <v>349</v>
      </c>
      <c r="B163" s="29"/>
      <c r="C163" s="23" t="s">
        <v>46</v>
      </c>
      <c r="D163" s="32" t="s">
        <v>67</v>
      </c>
      <c r="E163" s="22"/>
      <c r="F163" s="22">
        <f t="shared" ref="F163:I163" si="119">IF(F$148-1&gt;0,(F172+F181*(F$148-1))/F$148,F172)</f>
        <v>1075653768</v>
      </c>
      <c r="G163" s="22">
        <f t="shared" si="119"/>
        <v>596585302.5</v>
      </c>
      <c r="H163" s="22">
        <f t="shared" si="119"/>
        <v>598580935.6</v>
      </c>
      <c r="I163" s="22">
        <f t="shared" si="119"/>
        <v>3581125272</v>
      </c>
    </row>
    <row r="164" ht="15.75" customHeight="1">
      <c r="A164" s="23" t="s">
        <v>350</v>
      </c>
      <c r="B164" s="29"/>
      <c r="C164" s="23" t="s">
        <v>46</v>
      </c>
      <c r="D164" s="32" t="s">
        <v>67</v>
      </c>
      <c r="E164" s="22"/>
      <c r="F164" s="22">
        <f t="shared" ref="F164:I164" si="120">IF(F$148-1&gt;0,(F173+F182*(F$148-1))/F$148,F173)</f>
        <v>6453922610</v>
      </c>
      <c r="G164" s="22">
        <f t="shared" si="120"/>
        <v>3579511815</v>
      </c>
      <c r="H164" s="22">
        <f t="shared" si="120"/>
        <v>3591485613</v>
      </c>
      <c r="I164" s="22">
        <f t="shared" si="120"/>
        <v>21486751632</v>
      </c>
    </row>
    <row r="165" ht="15.75" customHeight="1">
      <c r="A165" s="23" t="s">
        <v>351</v>
      </c>
      <c r="B165" s="29"/>
      <c r="C165" s="23" t="s">
        <v>352</v>
      </c>
      <c r="D165" s="32" t="s">
        <v>67</v>
      </c>
      <c r="E165" s="22"/>
      <c r="F165" s="22">
        <f t="shared" ref="F165:I165" si="121">IF(F$148-1&gt;0,(F174+F183*(F$148-1))/F$148,F174)</f>
        <v>92.19889444</v>
      </c>
      <c r="G165" s="22">
        <f t="shared" si="121"/>
        <v>51.13588307</v>
      </c>
      <c r="H165" s="22">
        <f t="shared" si="121"/>
        <v>51.30693733</v>
      </c>
      <c r="I165" s="22">
        <f t="shared" si="121"/>
        <v>306.9535947</v>
      </c>
    </row>
    <row r="166" ht="15.75" customHeight="1">
      <c r="A166" s="28" t="s">
        <v>353</v>
      </c>
      <c r="B166" s="29"/>
      <c r="D166" s="29"/>
    </row>
    <row r="167" ht="15.75" customHeight="1">
      <c r="A167" s="23" t="s">
        <v>344</v>
      </c>
      <c r="B167" s="29"/>
      <c r="C167" s="23" t="s">
        <v>46</v>
      </c>
      <c r="D167" s="32" t="s">
        <v>67</v>
      </c>
      <c r="F167" s="21">
        <f t="shared" ref="F167:I167" si="122">F23+F131</f>
        <v>109173731.1</v>
      </c>
      <c r="G167" s="21">
        <f t="shared" si="122"/>
        <v>56616973.66</v>
      </c>
      <c r="H167" s="21">
        <f t="shared" si="122"/>
        <v>66595181.26</v>
      </c>
      <c r="I167" s="21">
        <f t="shared" si="122"/>
        <v>188015860.9</v>
      </c>
    </row>
    <row r="168" ht="15.75" customHeight="1">
      <c r="A168" s="23" t="s">
        <v>345</v>
      </c>
      <c r="B168" s="29"/>
      <c r="C168" s="23" t="s">
        <v>46</v>
      </c>
      <c r="D168" s="32" t="s">
        <v>67</v>
      </c>
      <c r="F168" s="21">
        <f t="shared" ref="F168:I168" si="123">F134</f>
        <v>55046296.3</v>
      </c>
      <c r="G168" s="21">
        <f t="shared" si="123"/>
        <v>30438400</v>
      </c>
      <c r="H168" s="21">
        <f t="shared" si="123"/>
        <v>30438400</v>
      </c>
      <c r="I168" s="21">
        <f t="shared" si="123"/>
        <v>185781250</v>
      </c>
    </row>
    <row r="169" ht="15.75" customHeight="1">
      <c r="A169" s="23" t="s">
        <v>346</v>
      </c>
      <c r="B169" s="29"/>
      <c r="C169" s="23" t="s">
        <v>46</v>
      </c>
      <c r="D169" s="32" t="s">
        <v>67</v>
      </c>
      <c r="F169" s="21">
        <f t="shared" ref="F169:I169" si="124">F140+F24</f>
        <v>2613629.514</v>
      </c>
      <c r="G169" s="21">
        <f t="shared" si="124"/>
        <v>2421138.622</v>
      </c>
      <c r="H169" s="21">
        <f t="shared" si="124"/>
        <v>2421096.569</v>
      </c>
      <c r="I169" s="21">
        <f t="shared" si="124"/>
        <v>5579248.779</v>
      </c>
    </row>
    <row r="170" ht="15.75" customHeight="1">
      <c r="A170" s="23" t="s">
        <v>347</v>
      </c>
      <c r="B170" s="29"/>
      <c r="C170" s="23" t="s">
        <v>46</v>
      </c>
      <c r="D170" s="32" t="s">
        <v>67</v>
      </c>
      <c r="F170" s="21">
        <f t="shared" ref="F170:I170" si="125">F141</f>
        <v>5185185185</v>
      </c>
      <c r="G170" s="21">
        <f t="shared" si="125"/>
        <v>2867200000</v>
      </c>
      <c r="H170" s="21">
        <f t="shared" si="125"/>
        <v>2867200000</v>
      </c>
      <c r="I170" s="21">
        <f t="shared" si="125"/>
        <v>17500000000</v>
      </c>
    </row>
    <row r="171" ht="15.75" customHeight="1">
      <c r="A171" s="23" t="s">
        <v>348</v>
      </c>
      <c r="B171" s="29"/>
      <c r="C171" s="23" t="s">
        <v>46</v>
      </c>
      <c r="D171" s="32" t="s">
        <v>67</v>
      </c>
      <c r="F171" s="21">
        <f t="shared" ref="F171:I171" si="126">F142</f>
        <v>26250000</v>
      </c>
      <c r="G171" s="21">
        <f t="shared" si="126"/>
        <v>26250000</v>
      </c>
      <c r="H171" s="21">
        <f t="shared" si="126"/>
        <v>26250000</v>
      </c>
      <c r="I171" s="21">
        <f t="shared" si="126"/>
        <v>26250000</v>
      </c>
    </row>
    <row r="172" ht="15.75" customHeight="1">
      <c r="A172" s="23" t="s">
        <v>349</v>
      </c>
      <c r="B172" s="29"/>
      <c r="C172" s="23" t="s">
        <v>46</v>
      </c>
      <c r="D172" s="32" t="s">
        <v>67</v>
      </c>
      <c r="E172" s="22"/>
      <c r="F172" s="22">
        <f t="shared" ref="F172:I172" si="127">SUM(F167:F171)*F7</f>
        <v>1075653768</v>
      </c>
      <c r="G172" s="22">
        <f t="shared" si="127"/>
        <v>596585302.5</v>
      </c>
      <c r="H172" s="22">
        <f t="shared" si="127"/>
        <v>598580935.6</v>
      </c>
      <c r="I172" s="22">
        <f t="shared" si="127"/>
        <v>3581125272</v>
      </c>
    </row>
    <row r="173" ht="15.75" customHeight="1">
      <c r="A173" s="23" t="s">
        <v>350</v>
      </c>
      <c r="B173" s="29"/>
      <c r="C173" s="23" t="s">
        <v>46</v>
      </c>
      <c r="D173" s="32" t="s">
        <v>67</v>
      </c>
      <c r="F173" s="21">
        <f t="shared" ref="F173:I173" si="128">SUM(F167:F172)</f>
        <v>6453922610</v>
      </c>
      <c r="G173" s="21">
        <f t="shared" si="128"/>
        <v>3579511815</v>
      </c>
      <c r="H173" s="21">
        <f t="shared" si="128"/>
        <v>3591485613</v>
      </c>
      <c r="I173" s="21">
        <f t="shared" si="128"/>
        <v>21486751632</v>
      </c>
    </row>
    <row r="174" ht="15.75" customHeight="1">
      <c r="A174" s="23" t="s">
        <v>354</v>
      </c>
      <c r="B174" s="29"/>
      <c r="C174" s="23" t="s">
        <v>352</v>
      </c>
      <c r="D174" s="32" t="s">
        <v>67</v>
      </c>
      <c r="E174" s="19"/>
      <c r="F174" s="19">
        <f t="shared" ref="F174:I174" si="129">F173/F$10</f>
        <v>92.19889444</v>
      </c>
      <c r="G174" s="19">
        <f t="shared" si="129"/>
        <v>51.13588307</v>
      </c>
      <c r="H174" s="19">
        <f t="shared" si="129"/>
        <v>51.30693733</v>
      </c>
      <c r="I174" s="19">
        <f t="shared" si="129"/>
        <v>306.9535947</v>
      </c>
    </row>
    <row r="175" ht="15.75" customHeight="1">
      <c r="A175" s="28" t="s">
        <v>355</v>
      </c>
      <c r="B175" s="29"/>
      <c r="D175" s="30"/>
    </row>
    <row r="176" ht="15.75" customHeight="1">
      <c r="A176" s="23" t="s">
        <v>344</v>
      </c>
      <c r="B176" s="29"/>
      <c r="C176" s="23" t="s">
        <v>46</v>
      </c>
      <c r="D176" s="32" t="s">
        <v>67</v>
      </c>
      <c r="F176" s="21">
        <f t="shared" ref="F176:I176" si="130">F131</f>
        <v>54173731.09</v>
      </c>
      <c r="G176" s="21">
        <f t="shared" si="130"/>
        <v>1616973.664</v>
      </c>
      <c r="H176" s="21">
        <f t="shared" si="130"/>
        <v>11595181.26</v>
      </c>
      <c r="I176" s="21">
        <f t="shared" si="130"/>
        <v>133015860.9</v>
      </c>
    </row>
    <row r="177" ht="15.75" customHeight="1">
      <c r="A177" s="23" t="s">
        <v>345</v>
      </c>
      <c r="B177" s="29"/>
      <c r="C177" s="23" t="s">
        <v>46</v>
      </c>
      <c r="D177" s="32" t="s">
        <v>67</v>
      </c>
      <c r="F177" s="21">
        <f t="shared" ref="F177:I177" si="131">F137</f>
        <v>1361111.111</v>
      </c>
      <c r="G177" s="21">
        <f t="shared" si="131"/>
        <v>752640</v>
      </c>
      <c r="H177" s="21">
        <f t="shared" si="131"/>
        <v>752640</v>
      </c>
      <c r="I177" s="21">
        <f t="shared" si="131"/>
        <v>4593750</v>
      </c>
    </row>
    <row r="178" ht="15.75" customHeight="1">
      <c r="A178" s="23" t="s">
        <v>346</v>
      </c>
      <c r="B178" s="29"/>
      <c r="C178" s="23" t="s">
        <v>46</v>
      </c>
      <c r="D178" s="32" t="s">
        <v>67</v>
      </c>
      <c r="F178" s="21">
        <f t="shared" ref="F178:I178" si="132">F140</f>
        <v>613629.5144</v>
      </c>
      <c r="G178" s="21">
        <f t="shared" si="132"/>
        <v>421138.6222</v>
      </c>
      <c r="H178" s="21">
        <f t="shared" si="132"/>
        <v>421096.5693</v>
      </c>
      <c r="I178" s="21">
        <f t="shared" si="132"/>
        <v>3579248.779</v>
      </c>
    </row>
    <row r="179" ht="15.75" customHeight="1">
      <c r="A179" s="23" t="s">
        <v>347</v>
      </c>
      <c r="B179" s="29"/>
      <c r="C179" s="23" t="s">
        <v>46</v>
      </c>
      <c r="D179" s="32" t="s">
        <v>67</v>
      </c>
      <c r="F179" s="21">
        <f t="shared" ref="F179:I179" si="133">F141</f>
        <v>5185185185</v>
      </c>
      <c r="G179" s="21">
        <f t="shared" si="133"/>
        <v>2867200000</v>
      </c>
      <c r="H179" s="21">
        <f t="shared" si="133"/>
        <v>2867200000</v>
      </c>
      <c r="I179" s="21">
        <f t="shared" si="133"/>
        <v>17500000000</v>
      </c>
    </row>
    <row r="180" ht="15.75" customHeight="1">
      <c r="A180" s="23" t="s">
        <v>348</v>
      </c>
      <c r="B180" s="29"/>
      <c r="C180" s="23" t="s">
        <v>46</v>
      </c>
      <c r="D180" s="32" t="s">
        <v>67</v>
      </c>
      <c r="F180" s="21">
        <f t="shared" ref="F180:I180" si="134">F142</f>
        <v>26250000</v>
      </c>
      <c r="G180" s="21">
        <f t="shared" si="134"/>
        <v>26250000</v>
      </c>
      <c r="H180" s="21">
        <f t="shared" si="134"/>
        <v>26250000</v>
      </c>
      <c r="I180" s="21">
        <f t="shared" si="134"/>
        <v>26250000</v>
      </c>
    </row>
    <row r="181" ht="15.75" customHeight="1">
      <c r="A181" s="23" t="s">
        <v>349</v>
      </c>
      <c r="B181" s="29"/>
      <c r="C181" s="23" t="s">
        <v>46</v>
      </c>
      <c r="D181" s="32" t="s">
        <v>67</v>
      </c>
      <c r="E181" s="22"/>
      <c r="F181" s="22">
        <f t="shared" ref="F181:I181" si="135">SUM(F176:F180)*F8</f>
        <v>263379182.8</v>
      </c>
      <c r="G181" s="22">
        <f t="shared" si="135"/>
        <v>144812037.6</v>
      </c>
      <c r="H181" s="22">
        <f t="shared" si="135"/>
        <v>145310945.9</v>
      </c>
      <c r="I181" s="22">
        <f t="shared" si="135"/>
        <v>883371943</v>
      </c>
      <c r="J181" s="22"/>
    </row>
    <row r="182" ht="15.75" customHeight="1">
      <c r="A182" s="23" t="s">
        <v>350</v>
      </c>
      <c r="B182" s="29"/>
      <c r="C182" s="23" t="s">
        <v>46</v>
      </c>
      <c r="D182" s="32" t="s">
        <v>67</v>
      </c>
      <c r="F182" s="21">
        <f t="shared" ref="F182:I182" si="136">SUM(F176:F181)</f>
        <v>5530962840</v>
      </c>
      <c r="G182" s="21">
        <f t="shared" si="136"/>
        <v>3041052790</v>
      </c>
      <c r="H182" s="21">
        <f t="shared" si="136"/>
        <v>3051529864</v>
      </c>
      <c r="I182" s="21">
        <f t="shared" si="136"/>
        <v>18550810803</v>
      </c>
    </row>
    <row r="183" ht="15.75" customHeight="1">
      <c r="A183" s="23" t="s">
        <v>351</v>
      </c>
      <c r="B183" s="29"/>
      <c r="C183" s="23" t="s">
        <v>352</v>
      </c>
      <c r="D183" s="32" t="s">
        <v>67</v>
      </c>
      <c r="E183" s="19"/>
      <c r="F183" s="19">
        <f t="shared" ref="F183:I183" si="137">F182/F$10</f>
        <v>79.01375485</v>
      </c>
      <c r="G183" s="19">
        <f t="shared" si="137"/>
        <v>43.44361128</v>
      </c>
      <c r="H183" s="19">
        <f t="shared" si="137"/>
        <v>43.59328377</v>
      </c>
      <c r="I183" s="19">
        <f t="shared" si="137"/>
        <v>265.0115829</v>
      </c>
    </row>
    <row r="184" ht="15.75" customHeight="1">
      <c r="B184" s="29"/>
      <c r="D184" s="29"/>
    </row>
    <row r="185" ht="15.75" customHeight="1">
      <c r="B185" s="29"/>
      <c r="D185" s="29"/>
    </row>
    <row r="186" ht="15.75" customHeight="1">
      <c r="B186" s="29"/>
      <c r="D186" s="29"/>
    </row>
    <row r="187" ht="15.75" customHeight="1">
      <c r="B187" s="29"/>
      <c r="D187" s="29"/>
    </row>
    <row r="188" ht="15.75" customHeight="1">
      <c r="B188" s="29"/>
      <c r="D188" s="29"/>
    </row>
    <row r="189" ht="15.75" customHeight="1">
      <c r="B189" s="29"/>
      <c r="D189" s="29"/>
    </row>
    <row r="190" ht="15.75" customHeight="1">
      <c r="B190" s="29"/>
      <c r="D190" s="29"/>
    </row>
    <row r="191" ht="15.75" customHeight="1">
      <c r="B191" s="29"/>
      <c r="D191" s="29"/>
    </row>
    <row r="192" ht="15.75" customHeight="1">
      <c r="B192" s="29"/>
      <c r="D192" s="29"/>
    </row>
    <row r="193" ht="15.75" customHeight="1">
      <c r="B193" s="29"/>
      <c r="D193" s="29"/>
    </row>
    <row r="194" ht="15.75" customHeight="1">
      <c r="B194" s="29"/>
      <c r="D194" s="29"/>
    </row>
    <row r="195" ht="15.75" customHeight="1">
      <c r="B195" s="29"/>
      <c r="D195" s="29"/>
    </row>
    <row r="196" ht="15.75" customHeight="1">
      <c r="B196" s="29"/>
      <c r="D196" s="29"/>
    </row>
    <row r="197" ht="15.75" customHeight="1">
      <c r="B197" s="29"/>
      <c r="D197" s="29"/>
    </row>
    <row r="198" ht="15.75" customHeight="1">
      <c r="B198" s="29"/>
      <c r="D198" s="29"/>
    </row>
    <row r="199" ht="15.75" customHeight="1">
      <c r="B199" s="29"/>
      <c r="D199" s="29"/>
    </row>
    <row r="200" ht="15.75" customHeight="1">
      <c r="B200" s="29"/>
      <c r="D200" s="29"/>
    </row>
    <row r="201" ht="15.75" customHeight="1">
      <c r="B201" s="29"/>
      <c r="D201" s="29"/>
    </row>
    <row r="202" ht="15.75" customHeight="1">
      <c r="B202" s="29"/>
      <c r="D202" s="29"/>
    </row>
    <row r="203" ht="15.75" customHeight="1">
      <c r="B203" s="29"/>
      <c r="D203" s="29"/>
    </row>
    <row r="204" ht="15.75" customHeight="1">
      <c r="B204" s="29"/>
      <c r="D204" s="29"/>
    </row>
    <row r="205" ht="15.75" customHeight="1">
      <c r="B205" s="29"/>
      <c r="D205" s="29"/>
    </row>
    <row r="206" ht="15.75" customHeight="1">
      <c r="B206" s="29"/>
      <c r="D206" s="29"/>
    </row>
    <row r="207" ht="15.75" customHeight="1">
      <c r="B207" s="29"/>
      <c r="D207" s="29"/>
    </row>
    <row r="208" ht="15.75" customHeight="1">
      <c r="B208" s="29"/>
      <c r="D208" s="29"/>
    </row>
    <row r="209" ht="15.75" customHeight="1">
      <c r="B209" s="29"/>
      <c r="D209" s="29"/>
    </row>
    <row r="210" ht="15.75" customHeight="1">
      <c r="B210" s="29"/>
      <c r="D210" s="29"/>
    </row>
    <row r="211" ht="15.75" customHeight="1">
      <c r="B211" s="29"/>
      <c r="D211" s="29"/>
    </row>
    <row r="212" ht="15.75" customHeight="1">
      <c r="B212" s="29"/>
      <c r="D212" s="29"/>
    </row>
    <row r="213" ht="15.75" customHeight="1">
      <c r="B213" s="29"/>
      <c r="D213" s="29"/>
    </row>
    <row r="214" ht="15.75" customHeight="1">
      <c r="B214" s="29"/>
      <c r="D214" s="29"/>
    </row>
    <row r="215" ht="15.75" customHeight="1">
      <c r="B215" s="29"/>
      <c r="D215" s="29"/>
    </row>
    <row r="216" ht="15.75" customHeight="1">
      <c r="B216" s="29"/>
      <c r="D216" s="29"/>
    </row>
    <row r="217" ht="15.75" customHeight="1">
      <c r="B217" s="29"/>
      <c r="D217" s="29"/>
    </row>
    <row r="218" ht="15.75" customHeight="1">
      <c r="B218" s="29"/>
      <c r="D218" s="29"/>
    </row>
    <row r="219" ht="15.75" customHeight="1">
      <c r="B219" s="29"/>
      <c r="D219" s="29"/>
    </row>
    <row r="220" ht="15.75" customHeight="1">
      <c r="B220" s="29"/>
      <c r="D220" s="29"/>
    </row>
    <row r="221" ht="15.75" customHeight="1">
      <c r="B221" s="29"/>
      <c r="D221" s="29"/>
    </row>
    <row r="222" ht="15.75" customHeight="1">
      <c r="B222" s="29"/>
      <c r="D222" s="29"/>
    </row>
    <row r="223" ht="15.75" customHeight="1">
      <c r="B223" s="29"/>
      <c r="D223" s="29"/>
    </row>
    <row r="224" ht="15.75" customHeight="1">
      <c r="B224" s="29"/>
      <c r="D224" s="29"/>
    </row>
    <row r="225" ht="15.75" customHeight="1">
      <c r="B225" s="29"/>
      <c r="D225" s="29"/>
    </row>
    <row r="226" ht="15.75" customHeight="1">
      <c r="B226" s="29"/>
      <c r="D226" s="29"/>
    </row>
    <row r="227" ht="15.75" customHeight="1">
      <c r="B227" s="29"/>
      <c r="D227" s="29"/>
    </row>
    <row r="228" ht="15.75" customHeight="1">
      <c r="B228" s="29"/>
      <c r="D228" s="29"/>
    </row>
    <row r="229" ht="15.75" customHeight="1">
      <c r="B229" s="29"/>
      <c r="D229" s="29"/>
    </row>
    <row r="230" ht="15.75" customHeight="1">
      <c r="B230" s="29"/>
      <c r="D230" s="29"/>
    </row>
    <row r="231" ht="15.75" customHeight="1">
      <c r="B231" s="29"/>
      <c r="D231" s="29"/>
    </row>
    <row r="232" ht="15.75" customHeight="1">
      <c r="B232" s="29"/>
      <c r="D232" s="29"/>
    </row>
    <row r="233" ht="15.75" customHeight="1">
      <c r="B233" s="29"/>
      <c r="D233" s="29"/>
    </row>
    <row r="234" ht="15.75" customHeight="1">
      <c r="B234" s="29"/>
      <c r="D234" s="29"/>
    </row>
    <row r="235" ht="15.75" customHeight="1">
      <c r="B235" s="29"/>
      <c r="D235" s="29"/>
    </row>
    <row r="236" ht="15.75" customHeight="1">
      <c r="B236" s="29"/>
      <c r="D236" s="29"/>
    </row>
    <row r="237" ht="15.75" customHeight="1">
      <c r="B237" s="29"/>
      <c r="D237" s="29"/>
    </row>
    <row r="238" ht="15.75" customHeight="1">
      <c r="B238" s="29"/>
      <c r="D238" s="29"/>
    </row>
    <row r="239" ht="15.75" customHeight="1">
      <c r="B239" s="29"/>
      <c r="D239" s="29"/>
    </row>
    <row r="240" ht="15.75" customHeight="1">
      <c r="B240" s="29"/>
      <c r="D240" s="29"/>
    </row>
    <row r="241" ht="15.75" customHeight="1">
      <c r="B241" s="29"/>
      <c r="D241" s="29"/>
    </row>
    <row r="242" ht="15.75" customHeight="1">
      <c r="B242" s="29"/>
      <c r="D242" s="29"/>
    </row>
    <row r="243" ht="15.75" customHeight="1">
      <c r="B243" s="29"/>
      <c r="D243" s="29"/>
    </row>
    <row r="244" ht="15.75" customHeight="1">
      <c r="B244" s="29"/>
      <c r="D244" s="29"/>
    </row>
    <row r="245" ht="15.75" customHeight="1">
      <c r="B245" s="29"/>
      <c r="D245" s="29"/>
    </row>
    <row r="246" ht="15.75" customHeight="1">
      <c r="B246" s="29"/>
      <c r="D246" s="29"/>
    </row>
    <row r="247" ht="15.75" customHeight="1">
      <c r="B247" s="29"/>
      <c r="D247" s="29"/>
    </row>
    <row r="248" ht="15.75" customHeight="1">
      <c r="B248" s="29"/>
      <c r="D248" s="29"/>
    </row>
    <row r="249" ht="15.75" customHeight="1">
      <c r="B249" s="29"/>
      <c r="D249" s="29"/>
    </row>
    <row r="250" ht="15.75" customHeight="1">
      <c r="B250" s="29"/>
      <c r="D250" s="29"/>
    </row>
    <row r="251" ht="15.75" customHeight="1">
      <c r="B251" s="29"/>
      <c r="D251" s="29"/>
    </row>
    <row r="252" ht="15.75" customHeight="1">
      <c r="B252" s="29"/>
      <c r="D252" s="29"/>
    </row>
    <row r="253" ht="15.75" customHeight="1">
      <c r="B253" s="29"/>
      <c r="D253" s="29"/>
    </row>
    <row r="254" ht="15.75" customHeight="1">
      <c r="B254" s="29"/>
      <c r="D254" s="29"/>
    </row>
    <row r="255" ht="15.75" customHeight="1">
      <c r="B255" s="29"/>
      <c r="D255" s="29"/>
    </row>
    <row r="256" ht="15.75" customHeight="1">
      <c r="B256" s="29"/>
      <c r="D256" s="29"/>
    </row>
    <row r="257" ht="15.75" customHeight="1">
      <c r="B257" s="29"/>
      <c r="D257" s="29"/>
    </row>
    <row r="258" ht="15.75" customHeight="1">
      <c r="B258" s="29"/>
      <c r="D258" s="29"/>
    </row>
    <row r="259" ht="15.75" customHeight="1">
      <c r="B259" s="29"/>
      <c r="D259" s="29"/>
    </row>
    <row r="260" ht="15.75" customHeight="1">
      <c r="B260" s="29"/>
      <c r="D260" s="29"/>
    </row>
    <row r="261" ht="15.75" customHeight="1">
      <c r="B261" s="29"/>
      <c r="D261" s="29"/>
    </row>
    <row r="262" ht="15.75" customHeight="1">
      <c r="B262" s="29"/>
      <c r="D262" s="29"/>
    </row>
    <row r="263" ht="15.75" customHeight="1">
      <c r="B263" s="29"/>
      <c r="D263" s="29"/>
    </row>
    <row r="264" ht="15.75" customHeight="1">
      <c r="B264" s="29"/>
      <c r="D264" s="29"/>
    </row>
    <row r="265" ht="15.75" customHeight="1">
      <c r="B265" s="29"/>
      <c r="D265" s="29"/>
    </row>
    <row r="266" ht="15.75" customHeight="1">
      <c r="B266" s="29"/>
      <c r="D266" s="29"/>
    </row>
    <row r="267" ht="15.75" customHeight="1">
      <c r="B267" s="29"/>
      <c r="D267" s="29"/>
    </row>
    <row r="268" ht="15.75" customHeight="1">
      <c r="B268" s="29"/>
      <c r="D268" s="29"/>
    </row>
    <row r="269" ht="15.75" customHeight="1">
      <c r="B269" s="29"/>
      <c r="D269" s="29"/>
    </row>
    <row r="270" ht="15.75" customHeight="1">
      <c r="B270" s="29"/>
      <c r="D270" s="29"/>
    </row>
    <row r="271" ht="15.75" customHeight="1">
      <c r="B271" s="29"/>
      <c r="D271" s="29"/>
    </row>
    <row r="272" ht="15.75" customHeight="1">
      <c r="B272" s="29"/>
      <c r="D272" s="29"/>
    </row>
    <row r="273" ht="15.75" customHeight="1">
      <c r="B273" s="29"/>
      <c r="D273" s="29"/>
    </row>
    <row r="274" ht="15.75" customHeight="1">
      <c r="B274" s="29"/>
      <c r="D274" s="29"/>
    </row>
    <row r="275" ht="15.75" customHeight="1">
      <c r="B275" s="29"/>
      <c r="D275" s="29"/>
    </row>
    <row r="276" ht="15.75" customHeight="1">
      <c r="B276" s="29"/>
      <c r="D276" s="29"/>
    </row>
    <row r="277" ht="15.75" customHeight="1">
      <c r="B277" s="29"/>
      <c r="D277" s="29"/>
    </row>
    <row r="278" ht="15.75" customHeight="1">
      <c r="B278" s="29"/>
      <c r="D278" s="29"/>
    </row>
    <row r="279" ht="15.75" customHeight="1">
      <c r="B279" s="29"/>
      <c r="D279" s="29"/>
    </row>
    <row r="280" ht="15.75" customHeight="1">
      <c r="B280" s="29"/>
      <c r="D280" s="29"/>
    </row>
    <row r="281" ht="15.75" customHeight="1">
      <c r="B281" s="29"/>
      <c r="D281" s="29"/>
    </row>
    <row r="282" ht="15.75" customHeight="1">
      <c r="B282" s="29"/>
      <c r="D282" s="29"/>
    </row>
    <row r="283" ht="15.75" customHeight="1">
      <c r="B283" s="29"/>
      <c r="D283" s="29"/>
    </row>
    <row r="284" ht="15.75" customHeight="1">
      <c r="B284" s="29"/>
      <c r="D284" s="29"/>
    </row>
    <row r="285" ht="15.75" customHeight="1">
      <c r="B285" s="29"/>
      <c r="D285" s="29"/>
    </row>
    <row r="286" ht="15.75" customHeight="1">
      <c r="B286" s="29"/>
      <c r="D286" s="29"/>
    </row>
    <row r="287" ht="15.75" customHeight="1">
      <c r="B287" s="29"/>
      <c r="D287" s="29"/>
    </row>
    <row r="288" ht="15.75" customHeight="1">
      <c r="B288" s="29"/>
      <c r="D288" s="29"/>
    </row>
    <row r="289" ht="15.75" customHeight="1">
      <c r="B289" s="29"/>
      <c r="D289" s="29"/>
    </row>
    <row r="290" ht="15.75" customHeight="1">
      <c r="B290" s="29"/>
      <c r="D290" s="29"/>
    </row>
    <row r="291" ht="15.75" customHeight="1">
      <c r="B291" s="29"/>
      <c r="D291" s="29"/>
    </row>
    <row r="292" ht="15.75" customHeight="1">
      <c r="B292" s="29"/>
      <c r="D292" s="29"/>
    </row>
    <row r="293" ht="15.75" customHeight="1">
      <c r="B293" s="29"/>
      <c r="D293" s="29"/>
    </row>
    <row r="294" ht="15.75" customHeight="1">
      <c r="B294" s="29"/>
      <c r="D294" s="29"/>
    </row>
    <row r="295" ht="15.75" customHeight="1">
      <c r="B295" s="29"/>
      <c r="D295" s="29"/>
    </row>
    <row r="296" ht="15.75" customHeight="1">
      <c r="B296" s="29"/>
      <c r="D296" s="29"/>
    </row>
    <row r="297" ht="15.75" customHeight="1">
      <c r="B297" s="29"/>
      <c r="D297" s="29"/>
    </row>
    <row r="298" ht="15.75" customHeight="1">
      <c r="B298" s="29"/>
      <c r="D298" s="29"/>
    </row>
    <row r="299" ht="15.75" customHeight="1">
      <c r="B299" s="29"/>
      <c r="D299" s="29"/>
    </row>
    <row r="300" ht="15.75" customHeight="1">
      <c r="B300" s="29"/>
      <c r="D300" s="29"/>
    </row>
    <row r="301" ht="15.75" customHeight="1">
      <c r="B301" s="29"/>
      <c r="D301" s="29"/>
    </row>
    <row r="302" ht="15.75" customHeight="1">
      <c r="B302" s="29"/>
      <c r="D302" s="29"/>
    </row>
    <row r="303" ht="15.75" customHeight="1">
      <c r="B303" s="29"/>
      <c r="D303" s="29"/>
    </row>
    <row r="304" ht="15.75" customHeight="1">
      <c r="B304" s="29"/>
      <c r="D304" s="29"/>
    </row>
    <row r="305" ht="15.75" customHeight="1">
      <c r="B305" s="29"/>
      <c r="D305" s="29"/>
    </row>
    <row r="306" ht="15.75" customHeight="1">
      <c r="B306" s="29"/>
      <c r="D306" s="29"/>
    </row>
    <row r="307" ht="15.75" customHeight="1">
      <c r="B307" s="29"/>
      <c r="D307" s="29"/>
    </row>
    <row r="308" ht="15.75" customHeight="1">
      <c r="B308" s="29"/>
      <c r="D308" s="29"/>
    </row>
    <row r="309" ht="15.75" customHeight="1">
      <c r="B309" s="29"/>
      <c r="D309" s="29"/>
    </row>
    <row r="310" ht="15.75" customHeight="1">
      <c r="B310" s="29"/>
      <c r="D310" s="29"/>
    </row>
    <row r="311" ht="15.75" customHeight="1">
      <c r="B311" s="29"/>
      <c r="D311" s="29"/>
    </row>
    <row r="312" ht="15.75" customHeight="1">
      <c r="B312" s="29"/>
      <c r="D312" s="29"/>
    </row>
    <row r="313" ht="15.75" customHeight="1">
      <c r="B313" s="29"/>
      <c r="D313" s="29"/>
    </row>
    <row r="314" ht="15.75" customHeight="1">
      <c r="B314" s="29"/>
      <c r="D314" s="29"/>
    </row>
    <row r="315" ht="15.75" customHeight="1">
      <c r="B315" s="29"/>
      <c r="D315" s="29"/>
    </row>
    <row r="316" ht="15.75" customHeight="1">
      <c r="B316" s="29"/>
      <c r="D316" s="29"/>
    </row>
    <row r="317" ht="15.75" customHeight="1">
      <c r="B317" s="29"/>
      <c r="D317" s="29"/>
    </row>
    <row r="318" ht="15.75" customHeight="1">
      <c r="B318" s="29"/>
      <c r="D318" s="29"/>
    </row>
    <row r="319" ht="15.75" customHeight="1">
      <c r="B319" s="29"/>
      <c r="D319" s="29"/>
    </row>
    <row r="320" ht="15.75" customHeight="1">
      <c r="B320" s="29"/>
      <c r="D320" s="29"/>
    </row>
    <row r="321" ht="15.75" customHeight="1">
      <c r="B321" s="29"/>
      <c r="D321" s="29"/>
    </row>
    <row r="322" ht="15.75" customHeight="1">
      <c r="B322" s="29"/>
      <c r="D322" s="29"/>
    </row>
    <row r="323" ht="15.75" customHeight="1">
      <c r="B323" s="29"/>
      <c r="D323" s="29"/>
    </row>
    <row r="324" ht="15.75" customHeight="1">
      <c r="B324" s="29"/>
      <c r="D324" s="29"/>
    </row>
    <row r="325" ht="15.75" customHeight="1">
      <c r="B325" s="29"/>
      <c r="D325" s="29"/>
    </row>
    <row r="326" ht="15.75" customHeight="1">
      <c r="B326" s="29"/>
      <c r="D326" s="29"/>
    </row>
    <row r="327" ht="15.75" customHeight="1">
      <c r="B327" s="29"/>
      <c r="D327" s="29"/>
    </row>
    <row r="328" ht="15.75" customHeight="1">
      <c r="B328" s="29"/>
      <c r="D328" s="29"/>
    </row>
    <row r="329" ht="15.75" customHeight="1">
      <c r="B329" s="29"/>
      <c r="D329" s="29"/>
    </row>
    <row r="330" ht="15.75" customHeight="1">
      <c r="B330" s="29"/>
      <c r="D330" s="29"/>
    </row>
    <row r="331" ht="15.75" customHeight="1">
      <c r="B331" s="29"/>
      <c r="D331" s="29"/>
    </row>
    <row r="332" ht="15.75" customHeight="1">
      <c r="B332" s="29"/>
      <c r="D332" s="29"/>
    </row>
    <row r="333" ht="15.75" customHeight="1">
      <c r="B333" s="29"/>
      <c r="D333" s="29"/>
    </row>
    <row r="334" ht="15.75" customHeight="1">
      <c r="B334" s="29"/>
      <c r="D334" s="29"/>
    </row>
    <row r="335" ht="15.75" customHeight="1">
      <c r="B335" s="29"/>
      <c r="D335" s="29"/>
    </row>
    <row r="336" ht="15.75" customHeight="1">
      <c r="B336" s="29"/>
      <c r="D336" s="29"/>
    </row>
    <row r="337" ht="15.75" customHeight="1">
      <c r="B337" s="29"/>
      <c r="D337" s="29"/>
    </row>
    <row r="338" ht="15.75" customHeight="1">
      <c r="B338" s="29"/>
      <c r="D338" s="29"/>
    </row>
    <row r="339" ht="15.75" customHeight="1">
      <c r="B339" s="29"/>
      <c r="D339" s="29"/>
    </row>
    <row r="340" ht="15.75" customHeight="1">
      <c r="B340" s="29"/>
      <c r="D340" s="29"/>
    </row>
    <row r="341" ht="15.75" customHeight="1">
      <c r="B341" s="29"/>
      <c r="D341" s="29"/>
    </row>
    <row r="342" ht="15.75" customHeight="1">
      <c r="B342" s="29"/>
      <c r="D342" s="29"/>
    </row>
    <row r="343" ht="15.75" customHeight="1">
      <c r="B343" s="29"/>
      <c r="D343" s="29"/>
    </row>
    <row r="344" ht="15.75" customHeight="1">
      <c r="B344" s="29"/>
      <c r="D344" s="29"/>
    </row>
    <row r="345" ht="15.75" customHeight="1">
      <c r="B345" s="29"/>
      <c r="D345" s="29"/>
    </row>
    <row r="346" ht="15.75" customHeight="1">
      <c r="B346" s="29"/>
      <c r="D346" s="29"/>
    </row>
    <row r="347" ht="15.75" customHeight="1">
      <c r="B347" s="29"/>
      <c r="D347" s="29"/>
    </row>
    <row r="348" ht="15.75" customHeight="1">
      <c r="B348" s="29"/>
      <c r="D348" s="29"/>
    </row>
    <row r="349" ht="15.75" customHeight="1">
      <c r="B349" s="29"/>
      <c r="D349" s="29"/>
    </row>
    <row r="350" ht="15.75" customHeight="1">
      <c r="B350" s="29"/>
      <c r="D350" s="29"/>
    </row>
    <row r="351" ht="15.75" customHeight="1">
      <c r="B351" s="29"/>
      <c r="D351" s="29"/>
    </row>
    <row r="352" ht="15.75" customHeight="1">
      <c r="B352" s="29"/>
      <c r="D352" s="29"/>
    </row>
    <row r="353" ht="15.75" customHeight="1">
      <c r="B353" s="29"/>
      <c r="D353" s="29"/>
    </row>
    <row r="354" ht="15.75" customHeight="1">
      <c r="B354" s="29"/>
      <c r="D354" s="29"/>
    </row>
    <row r="355" ht="15.75" customHeight="1">
      <c r="B355" s="29"/>
      <c r="D355" s="29"/>
    </row>
    <row r="356" ht="15.75" customHeight="1">
      <c r="B356" s="29"/>
      <c r="D356" s="29"/>
    </row>
    <row r="357" ht="15.75" customHeight="1">
      <c r="B357" s="29"/>
      <c r="D357" s="29"/>
    </row>
    <row r="358" ht="15.75" customHeight="1">
      <c r="B358" s="29"/>
      <c r="D358" s="29"/>
    </row>
    <row r="359" ht="15.75" customHeight="1">
      <c r="B359" s="29"/>
      <c r="D359" s="29"/>
    </row>
    <row r="360" ht="15.75" customHeight="1">
      <c r="B360" s="29"/>
      <c r="D360" s="29"/>
    </row>
    <row r="361" ht="15.75" customHeight="1">
      <c r="B361" s="29"/>
      <c r="D361" s="29"/>
    </row>
    <row r="362" ht="15.75" customHeight="1">
      <c r="B362" s="29"/>
      <c r="D362" s="29"/>
    </row>
    <row r="363" ht="15.75" customHeight="1">
      <c r="B363" s="29"/>
      <c r="D363" s="29"/>
    </row>
    <row r="364" ht="15.75" customHeight="1">
      <c r="B364" s="29"/>
      <c r="D364" s="29"/>
    </row>
    <row r="365" ht="15.75" customHeight="1">
      <c r="B365" s="29"/>
      <c r="D365" s="29"/>
    </row>
    <row r="366" ht="15.75" customHeight="1">
      <c r="B366" s="29"/>
      <c r="D366" s="29"/>
    </row>
    <row r="367" ht="15.75" customHeight="1">
      <c r="B367" s="29"/>
      <c r="D367" s="29"/>
    </row>
    <row r="368" ht="15.75" customHeight="1">
      <c r="B368" s="29"/>
      <c r="D368" s="29"/>
    </row>
    <row r="369" ht="15.75" customHeight="1">
      <c r="B369" s="29"/>
      <c r="D369" s="29"/>
    </row>
    <row r="370" ht="15.75" customHeight="1">
      <c r="B370" s="29"/>
      <c r="D370" s="29"/>
    </row>
    <row r="371" ht="15.75" customHeight="1">
      <c r="B371" s="29"/>
      <c r="D371" s="29"/>
    </row>
    <row r="372" ht="15.75" customHeight="1">
      <c r="B372" s="29"/>
      <c r="D372" s="29"/>
    </row>
    <row r="373" ht="15.75" customHeight="1">
      <c r="B373" s="29"/>
      <c r="D373" s="29"/>
    </row>
    <row r="374" ht="15.75" customHeight="1">
      <c r="B374" s="29"/>
      <c r="D374" s="29"/>
    </row>
    <row r="375" ht="15.75" customHeight="1">
      <c r="B375" s="29"/>
      <c r="D375" s="29"/>
    </row>
    <row r="376" ht="15.75" customHeight="1">
      <c r="B376" s="29"/>
      <c r="D376" s="29"/>
    </row>
    <row r="377" ht="15.75" customHeight="1">
      <c r="B377" s="29"/>
      <c r="D377" s="29"/>
    </row>
    <row r="378" ht="15.75" customHeight="1">
      <c r="B378" s="29"/>
      <c r="D378" s="29"/>
    </row>
    <row r="379" ht="15.75" customHeight="1">
      <c r="B379" s="29"/>
      <c r="D379" s="29"/>
    </row>
    <row r="380" ht="15.75" customHeight="1">
      <c r="B380" s="29"/>
      <c r="D380" s="29"/>
    </row>
    <row r="381" ht="15.75" customHeight="1">
      <c r="B381" s="29"/>
      <c r="D381" s="29"/>
    </row>
    <row r="382" ht="15.75" customHeight="1">
      <c r="B382" s="29"/>
      <c r="D382" s="29"/>
    </row>
    <row r="383" ht="15.75" customHeight="1">
      <c r="B383" s="29"/>
      <c r="D383" s="29"/>
    </row>
    <row r="384" ht="15.75" customHeight="1">
      <c r="B384" s="29"/>
      <c r="D384" s="29"/>
    </row>
    <row r="385" ht="15.75" customHeight="1">
      <c r="B385" s="29"/>
      <c r="D385" s="29"/>
    </row>
    <row r="386" ht="15.75" customHeight="1">
      <c r="B386" s="29"/>
      <c r="D386" s="29"/>
    </row>
    <row r="387" ht="15.75" customHeight="1">
      <c r="B387" s="29"/>
      <c r="D387" s="29"/>
    </row>
    <row r="388" ht="15.75" customHeight="1">
      <c r="B388" s="29"/>
      <c r="D388" s="29"/>
    </row>
    <row r="389" ht="15.75" customHeight="1">
      <c r="B389" s="29"/>
      <c r="D389" s="29"/>
    </row>
    <row r="390" ht="15.75" customHeight="1">
      <c r="B390" s="29"/>
      <c r="D390" s="29"/>
    </row>
    <row r="391" ht="15.75" customHeight="1">
      <c r="B391" s="29"/>
      <c r="D391" s="29"/>
    </row>
    <row r="392" ht="15.75" customHeight="1">
      <c r="B392" s="29"/>
      <c r="D392" s="29"/>
    </row>
    <row r="393" ht="15.75" customHeight="1">
      <c r="B393" s="29"/>
      <c r="D393" s="29"/>
    </row>
    <row r="394" ht="15.75" customHeight="1">
      <c r="B394" s="29"/>
      <c r="D394" s="29"/>
    </row>
    <row r="395" ht="15.75" customHeight="1">
      <c r="B395" s="29"/>
      <c r="D395" s="29"/>
    </row>
    <row r="396" ht="15.75" customHeight="1">
      <c r="B396" s="29"/>
      <c r="D396" s="29"/>
    </row>
    <row r="397" ht="15.75" customHeight="1">
      <c r="B397" s="29"/>
      <c r="D397" s="29"/>
    </row>
    <row r="398" ht="15.75" customHeight="1">
      <c r="B398" s="29"/>
      <c r="D398" s="29"/>
    </row>
    <row r="399" ht="15.75" customHeight="1">
      <c r="B399" s="29"/>
      <c r="D399" s="29"/>
    </row>
    <row r="400" ht="15.75" customHeight="1">
      <c r="B400" s="29"/>
      <c r="D400" s="29"/>
    </row>
    <row r="401" ht="15.75" customHeight="1">
      <c r="B401" s="29"/>
      <c r="D401" s="29"/>
    </row>
    <row r="402" ht="15.75" customHeight="1">
      <c r="B402" s="29"/>
      <c r="D402" s="29"/>
    </row>
    <row r="403" ht="15.75" customHeight="1">
      <c r="B403" s="29"/>
      <c r="D403" s="29"/>
    </row>
    <row r="404" ht="15.75" customHeight="1">
      <c r="B404" s="29"/>
      <c r="D404" s="29"/>
    </row>
    <row r="405" ht="15.75" customHeight="1">
      <c r="B405" s="29"/>
      <c r="D405" s="29"/>
    </row>
    <row r="406" ht="15.75" customHeight="1">
      <c r="B406" s="29"/>
      <c r="D406" s="29"/>
    </row>
    <row r="407" ht="15.75" customHeight="1">
      <c r="B407" s="29"/>
      <c r="D407" s="29"/>
    </row>
    <row r="408" ht="15.75" customHeight="1">
      <c r="B408" s="29"/>
      <c r="D408" s="29"/>
    </row>
    <row r="409" ht="15.75" customHeight="1">
      <c r="B409" s="29"/>
      <c r="D409" s="29"/>
    </row>
    <row r="410" ht="15.75" customHeight="1">
      <c r="B410" s="29"/>
      <c r="D410" s="29"/>
    </row>
    <row r="411" ht="15.75" customHeight="1">
      <c r="B411" s="29"/>
      <c r="D411" s="29"/>
    </row>
    <row r="412" ht="15.75" customHeight="1">
      <c r="B412" s="29"/>
      <c r="D412" s="29"/>
    </row>
    <row r="413" ht="15.75" customHeight="1">
      <c r="B413" s="29"/>
      <c r="D413" s="29"/>
    </row>
    <row r="414" ht="15.75" customHeight="1">
      <c r="B414" s="29"/>
      <c r="D414" s="29"/>
    </row>
    <row r="415" ht="15.75" customHeight="1">
      <c r="B415" s="29"/>
      <c r="D415" s="29"/>
    </row>
    <row r="416" ht="15.75" customHeight="1">
      <c r="B416" s="29"/>
      <c r="D416" s="29"/>
    </row>
    <row r="417" ht="15.75" customHeight="1">
      <c r="B417" s="29"/>
      <c r="D417" s="29"/>
    </row>
    <row r="418" ht="15.75" customHeight="1">
      <c r="B418" s="29"/>
      <c r="D418" s="29"/>
    </row>
    <row r="419" ht="15.75" customHeight="1">
      <c r="B419" s="29"/>
      <c r="D419" s="29"/>
    </row>
    <row r="420" ht="15.75" customHeight="1">
      <c r="B420" s="29"/>
      <c r="D420" s="29"/>
    </row>
    <row r="421" ht="15.75" customHeight="1">
      <c r="B421" s="29"/>
      <c r="D421" s="29"/>
    </row>
    <row r="422" ht="15.75" customHeight="1">
      <c r="B422" s="29"/>
      <c r="D422" s="29"/>
    </row>
    <row r="423" ht="15.75" customHeight="1">
      <c r="B423" s="29"/>
      <c r="D423" s="29"/>
    </row>
    <row r="424" ht="15.75" customHeight="1">
      <c r="B424" s="29"/>
      <c r="D424" s="29"/>
    </row>
    <row r="425" ht="15.75" customHeight="1">
      <c r="B425" s="29"/>
      <c r="D425" s="29"/>
    </row>
    <row r="426" ht="15.75" customHeight="1">
      <c r="B426" s="29"/>
      <c r="D426" s="29"/>
    </row>
    <row r="427" ht="15.75" customHeight="1">
      <c r="B427" s="29"/>
      <c r="D427" s="29"/>
    </row>
    <row r="428" ht="15.75" customHeight="1">
      <c r="B428" s="29"/>
      <c r="D428" s="29"/>
    </row>
    <row r="429" ht="15.75" customHeight="1">
      <c r="B429" s="29"/>
      <c r="D429" s="29"/>
    </row>
    <row r="430" ht="15.75" customHeight="1">
      <c r="B430" s="29"/>
      <c r="D430" s="29"/>
    </row>
    <row r="431" ht="15.75" customHeight="1">
      <c r="B431" s="29"/>
      <c r="D431" s="29"/>
    </row>
    <row r="432" ht="15.75" customHeight="1">
      <c r="B432" s="29"/>
      <c r="D432" s="29"/>
    </row>
    <row r="433" ht="15.75" customHeight="1">
      <c r="B433" s="29"/>
      <c r="D433" s="29"/>
    </row>
    <row r="434" ht="15.75" customHeight="1">
      <c r="B434" s="29"/>
      <c r="D434" s="29"/>
    </row>
    <row r="435" ht="15.75" customHeight="1">
      <c r="B435" s="29"/>
      <c r="D435" s="29"/>
    </row>
    <row r="436" ht="15.75" customHeight="1">
      <c r="B436" s="29"/>
      <c r="D436" s="29"/>
    </row>
    <row r="437" ht="15.75" customHeight="1">
      <c r="B437" s="29"/>
      <c r="D437" s="29"/>
    </row>
    <row r="438" ht="15.75" customHeight="1">
      <c r="B438" s="29"/>
      <c r="D438" s="29"/>
    </row>
    <row r="439" ht="15.75" customHeight="1">
      <c r="B439" s="29"/>
      <c r="D439" s="29"/>
    </row>
    <row r="440" ht="15.75" customHeight="1">
      <c r="B440" s="29"/>
      <c r="D440" s="29"/>
    </row>
    <row r="441" ht="15.75" customHeight="1">
      <c r="B441" s="29"/>
      <c r="D441" s="29"/>
    </row>
    <row r="442" ht="15.75" customHeight="1">
      <c r="B442" s="29"/>
      <c r="D442" s="29"/>
    </row>
    <row r="443" ht="15.75" customHeight="1">
      <c r="B443" s="29"/>
      <c r="D443" s="29"/>
    </row>
    <row r="444" ht="15.75" customHeight="1">
      <c r="B444" s="29"/>
      <c r="D444" s="29"/>
    </row>
    <row r="445" ht="15.75" customHeight="1">
      <c r="B445" s="29"/>
      <c r="D445" s="29"/>
    </row>
    <row r="446" ht="15.75" customHeight="1">
      <c r="B446" s="29"/>
      <c r="D446" s="29"/>
    </row>
    <row r="447" ht="15.75" customHeight="1">
      <c r="B447" s="29"/>
      <c r="D447" s="29"/>
    </row>
    <row r="448" ht="15.75" customHeight="1">
      <c r="B448" s="29"/>
      <c r="D448" s="29"/>
    </row>
    <row r="449" ht="15.75" customHeight="1">
      <c r="B449" s="29"/>
      <c r="D449" s="29"/>
    </row>
    <row r="450" ht="15.75" customHeight="1">
      <c r="B450" s="29"/>
      <c r="D450" s="29"/>
    </row>
    <row r="451" ht="15.75" customHeight="1">
      <c r="B451" s="29"/>
      <c r="D451" s="29"/>
    </row>
    <row r="452" ht="15.75" customHeight="1">
      <c r="B452" s="29"/>
      <c r="D452" s="29"/>
    </row>
    <row r="453" ht="15.75" customHeight="1">
      <c r="B453" s="29"/>
      <c r="D453" s="29"/>
    </row>
    <row r="454" ht="15.75" customHeight="1">
      <c r="B454" s="29"/>
      <c r="D454" s="29"/>
    </row>
    <row r="455" ht="15.75" customHeight="1">
      <c r="B455" s="29"/>
      <c r="D455" s="29"/>
    </row>
    <row r="456" ht="15.75" customHeight="1">
      <c r="B456" s="29"/>
      <c r="D456" s="29"/>
    </row>
    <row r="457" ht="15.75" customHeight="1">
      <c r="B457" s="29"/>
      <c r="D457" s="29"/>
    </row>
    <row r="458" ht="15.75" customHeight="1">
      <c r="B458" s="29"/>
      <c r="D458" s="29"/>
    </row>
    <row r="459" ht="15.75" customHeight="1">
      <c r="B459" s="29"/>
      <c r="D459" s="29"/>
    </row>
    <row r="460" ht="15.75" customHeight="1">
      <c r="B460" s="29"/>
      <c r="D460" s="29"/>
    </row>
    <row r="461" ht="15.75" customHeight="1">
      <c r="B461" s="29"/>
      <c r="D461" s="29"/>
    </row>
    <row r="462" ht="15.75" customHeight="1">
      <c r="B462" s="29"/>
      <c r="D462" s="29"/>
    </row>
    <row r="463" ht="15.75" customHeight="1">
      <c r="B463" s="29"/>
      <c r="D463" s="29"/>
    </row>
    <row r="464" ht="15.75" customHeight="1">
      <c r="B464" s="29"/>
      <c r="D464" s="29"/>
    </row>
    <row r="465" ht="15.75" customHeight="1">
      <c r="B465" s="29"/>
      <c r="D465" s="29"/>
    </row>
    <row r="466" ht="15.75" customHeight="1">
      <c r="B466" s="29"/>
      <c r="D466" s="29"/>
    </row>
    <row r="467" ht="15.75" customHeight="1">
      <c r="B467" s="29"/>
      <c r="D467" s="29"/>
    </row>
    <row r="468" ht="15.75" customHeight="1">
      <c r="B468" s="29"/>
      <c r="D468" s="29"/>
    </row>
    <row r="469" ht="15.75" customHeight="1">
      <c r="B469" s="29"/>
      <c r="D469" s="29"/>
    </row>
    <row r="470" ht="15.75" customHeight="1">
      <c r="B470" s="29"/>
      <c r="D470" s="29"/>
    </row>
    <row r="471" ht="15.75" customHeight="1">
      <c r="B471" s="29"/>
      <c r="D471" s="29"/>
    </row>
    <row r="472" ht="15.75" customHeight="1">
      <c r="B472" s="29"/>
      <c r="D472" s="29"/>
    </row>
    <row r="473" ht="15.75" customHeight="1">
      <c r="B473" s="29"/>
      <c r="D473" s="29"/>
    </row>
    <row r="474" ht="15.75" customHeight="1">
      <c r="B474" s="29"/>
      <c r="D474" s="29"/>
    </row>
    <row r="475" ht="15.75" customHeight="1">
      <c r="B475" s="29"/>
      <c r="D475" s="29"/>
    </row>
    <row r="476" ht="15.75" customHeight="1">
      <c r="B476" s="29"/>
      <c r="D476" s="29"/>
    </row>
    <row r="477" ht="15.75" customHeight="1">
      <c r="B477" s="29"/>
      <c r="D477" s="29"/>
    </row>
    <row r="478" ht="15.75" customHeight="1">
      <c r="B478" s="29"/>
      <c r="D478" s="29"/>
    </row>
    <row r="479" ht="15.75" customHeight="1">
      <c r="B479" s="29"/>
      <c r="D479" s="29"/>
    </row>
    <row r="480" ht="15.75" customHeight="1">
      <c r="B480" s="29"/>
      <c r="D480" s="29"/>
    </row>
    <row r="481" ht="15.75" customHeight="1">
      <c r="B481" s="29"/>
      <c r="D481" s="29"/>
    </row>
    <row r="482" ht="15.75" customHeight="1">
      <c r="B482" s="29"/>
      <c r="D482" s="29"/>
    </row>
    <row r="483" ht="15.75" customHeight="1">
      <c r="B483" s="29"/>
      <c r="D483" s="29"/>
    </row>
    <row r="484" ht="15.75" customHeight="1">
      <c r="B484" s="29"/>
      <c r="D484" s="29"/>
    </row>
    <row r="485" ht="15.75" customHeight="1">
      <c r="B485" s="29"/>
      <c r="D485" s="29"/>
    </row>
    <row r="486" ht="15.75" customHeight="1">
      <c r="B486" s="29"/>
      <c r="D486" s="29"/>
    </row>
    <row r="487" ht="15.75" customHeight="1">
      <c r="B487" s="29"/>
      <c r="D487" s="29"/>
    </row>
    <row r="488" ht="15.75" customHeight="1">
      <c r="B488" s="29"/>
      <c r="D488" s="29"/>
    </row>
    <row r="489" ht="15.75" customHeight="1">
      <c r="B489" s="29"/>
      <c r="D489" s="29"/>
    </row>
    <row r="490" ht="15.75" customHeight="1">
      <c r="B490" s="29"/>
      <c r="D490" s="29"/>
    </row>
    <row r="491" ht="15.75" customHeight="1">
      <c r="B491" s="29"/>
      <c r="D491" s="29"/>
    </row>
    <row r="492" ht="15.75" customHeight="1">
      <c r="B492" s="29"/>
      <c r="D492" s="29"/>
    </row>
    <row r="493" ht="15.75" customHeight="1">
      <c r="B493" s="29"/>
      <c r="D493" s="29"/>
    </row>
    <row r="494" ht="15.75" customHeight="1">
      <c r="B494" s="29"/>
      <c r="D494" s="29"/>
    </row>
    <row r="495" ht="15.75" customHeight="1">
      <c r="B495" s="29"/>
      <c r="D495" s="29"/>
    </row>
    <row r="496" ht="15.75" customHeight="1">
      <c r="B496" s="29"/>
      <c r="D496" s="29"/>
    </row>
    <row r="497" ht="15.75" customHeight="1">
      <c r="B497" s="29"/>
      <c r="D497" s="29"/>
    </row>
    <row r="498" ht="15.75" customHeight="1">
      <c r="B498" s="29"/>
      <c r="D498" s="29"/>
    </row>
    <row r="499" ht="15.75" customHeight="1">
      <c r="B499" s="29"/>
      <c r="D499" s="29"/>
    </row>
    <row r="500" ht="15.75" customHeight="1">
      <c r="B500" s="29"/>
      <c r="D500" s="29"/>
    </row>
    <row r="501" ht="15.75" customHeight="1">
      <c r="B501" s="29"/>
      <c r="D501" s="29"/>
    </row>
    <row r="502" ht="15.75" customHeight="1">
      <c r="B502" s="29"/>
      <c r="D502" s="29"/>
    </row>
    <row r="503" ht="15.75" customHeight="1">
      <c r="B503" s="29"/>
      <c r="D503" s="29"/>
    </row>
    <row r="504" ht="15.75" customHeight="1">
      <c r="B504" s="29"/>
      <c r="D504" s="29"/>
    </row>
    <row r="505" ht="15.75" customHeight="1">
      <c r="B505" s="29"/>
      <c r="D505" s="29"/>
    </row>
    <row r="506" ht="15.75" customHeight="1">
      <c r="B506" s="29"/>
      <c r="D506" s="29"/>
    </row>
    <row r="507" ht="15.75" customHeight="1">
      <c r="B507" s="29"/>
      <c r="D507" s="29"/>
    </row>
    <row r="508" ht="15.75" customHeight="1">
      <c r="B508" s="29"/>
      <c r="D508" s="29"/>
    </row>
    <row r="509" ht="15.75" customHeight="1">
      <c r="B509" s="29"/>
      <c r="D509" s="29"/>
    </row>
    <row r="510" ht="15.75" customHeight="1">
      <c r="B510" s="29"/>
      <c r="D510" s="29"/>
    </row>
    <row r="511" ht="15.75" customHeight="1">
      <c r="B511" s="29"/>
      <c r="D511" s="29"/>
    </row>
    <row r="512" ht="15.75" customHeight="1">
      <c r="B512" s="29"/>
      <c r="D512" s="29"/>
    </row>
    <row r="513" ht="15.75" customHeight="1">
      <c r="B513" s="29"/>
      <c r="D513" s="29"/>
    </row>
    <row r="514" ht="15.75" customHeight="1">
      <c r="B514" s="29"/>
      <c r="D514" s="29"/>
    </row>
    <row r="515" ht="15.75" customHeight="1">
      <c r="B515" s="29"/>
      <c r="D515" s="29"/>
    </row>
    <row r="516" ht="15.75" customHeight="1">
      <c r="B516" s="29"/>
      <c r="D516" s="29"/>
    </row>
    <row r="517" ht="15.75" customHeight="1">
      <c r="B517" s="29"/>
      <c r="D517" s="29"/>
    </row>
    <row r="518" ht="15.75" customHeight="1">
      <c r="B518" s="29"/>
      <c r="D518" s="29"/>
    </row>
    <row r="519" ht="15.75" customHeight="1">
      <c r="B519" s="29"/>
      <c r="D519" s="29"/>
    </row>
    <row r="520" ht="15.75" customHeight="1">
      <c r="B520" s="29"/>
      <c r="D520" s="29"/>
    </row>
    <row r="521" ht="15.75" customHeight="1">
      <c r="B521" s="29"/>
      <c r="D521" s="29"/>
    </row>
    <row r="522" ht="15.75" customHeight="1">
      <c r="B522" s="29"/>
      <c r="D522" s="29"/>
    </row>
    <row r="523" ht="15.75" customHeight="1">
      <c r="B523" s="29"/>
      <c r="D523" s="29"/>
    </row>
    <row r="524" ht="15.75" customHeight="1">
      <c r="B524" s="29"/>
      <c r="D524" s="29"/>
    </row>
    <row r="525" ht="15.75" customHeight="1">
      <c r="B525" s="29"/>
      <c r="D525" s="29"/>
    </row>
    <row r="526" ht="15.75" customHeight="1">
      <c r="B526" s="29"/>
      <c r="D526" s="29"/>
    </row>
    <row r="527" ht="15.75" customHeight="1">
      <c r="B527" s="29"/>
      <c r="D527" s="29"/>
    </row>
    <row r="528" ht="15.75" customHeight="1">
      <c r="B528" s="29"/>
      <c r="D528" s="29"/>
    </row>
    <row r="529" ht="15.75" customHeight="1">
      <c r="B529" s="29"/>
      <c r="D529" s="29"/>
    </row>
    <row r="530" ht="15.75" customHeight="1">
      <c r="B530" s="29"/>
      <c r="D530" s="29"/>
    </row>
    <row r="531" ht="15.75" customHeight="1">
      <c r="B531" s="29"/>
      <c r="D531" s="29"/>
    </row>
    <row r="532" ht="15.75" customHeight="1">
      <c r="B532" s="29"/>
      <c r="D532" s="29"/>
    </row>
    <row r="533" ht="15.75" customHeight="1">
      <c r="B533" s="29"/>
      <c r="D533" s="29"/>
    </row>
    <row r="534" ht="15.75" customHeight="1">
      <c r="B534" s="29"/>
      <c r="D534" s="29"/>
    </row>
    <row r="535" ht="15.75" customHeight="1">
      <c r="B535" s="29"/>
      <c r="D535" s="29"/>
    </row>
    <row r="536" ht="15.75" customHeight="1">
      <c r="B536" s="29"/>
      <c r="D536" s="29"/>
    </row>
    <row r="537" ht="15.75" customHeight="1">
      <c r="B537" s="29"/>
      <c r="D537" s="29"/>
    </row>
    <row r="538" ht="15.75" customHeight="1">
      <c r="B538" s="29"/>
      <c r="D538" s="29"/>
    </row>
    <row r="539" ht="15.75" customHeight="1">
      <c r="B539" s="29"/>
      <c r="D539" s="29"/>
    </row>
    <row r="540" ht="15.75" customHeight="1">
      <c r="B540" s="29"/>
      <c r="D540" s="29"/>
    </row>
    <row r="541" ht="15.75" customHeight="1">
      <c r="B541" s="29"/>
      <c r="D541" s="29"/>
    </row>
    <row r="542" ht="15.75" customHeight="1">
      <c r="B542" s="29"/>
      <c r="D542" s="29"/>
    </row>
    <row r="543" ht="15.75" customHeight="1">
      <c r="B543" s="29"/>
      <c r="D543" s="29"/>
    </row>
    <row r="544" ht="15.75" customHeight="1">
      <c r="B544" s="29"/>
      <c r="D544" s="29"/>
    </row>
    <row r="545" ht="15.75" customHeight="1">
      <c r="B545" s="29"/>
      <c r="D545" s="29"/>
    </row>
    <row r="546" ht="15.75" customHeight="1">
      <c r="B546" s="29"/>
      <c r="D546" s="29"/>
    </row>
    <row r="547" ht="15.75" customHeight="1">
      <c r="B547" s="29"/>
      <c r="D547" s="29"/>
    </row>
    <row r="548" ht="15.75" customHeight="1">
      <c r="B548" s="29"/>
      <c r="D548" s="29"/>
    </row>
    <row r="549" ht="15.75" customHeight="1">
      <c r="B549" s="29"/>
      <c r="D549" s="29"/>
    </row>
    <row r="550" ht="15.75" customHeight="1">
      <c r="B550" s="29"/>
      <c r="D550" s="29"/>
    </row>
    <row r="551" ht="15.75" customHeight="1">
      <c r="B551" s="29"/>
      <c r="D551" s="29"/>
    </row>
    <row r="552" ht="15.75" customHeight="1">
      <c r="B552" s="29"/>
      <c r="D552" s="29"/>
    </row>
    <row r="553" ht="15.75" customHeight="1">
      <c r="B553" s="29"/>
      <c r="D553" s="29"/>
    </row>
    <row r="554" ht="15.75" customHeight="1">
      <c r="B554" s="29"/>
      <c r="D554" s="29"/>
    </row>
    <row r="555" ht="15.75" customHeight="1">
      <c r="B555" s="29"/>
      <c r="D555" s="29"/>
    </row>
    <row r="556" ht="15.75" customHeight="1">
      <c r="B556" s="29"/>
      <c r="D556" s="29"/>
    </row>
    <row r="557" ht="15.75" customHeight="1">
      <c r="B557" s="29"/>
      <c r="D557" s="29"/>
    </row>
    <row r="558" ht="15.75" customHeight="1">
      <c r="B558" s="29"/>
      <c r="D558" s="29"/>
    </row>
    <row r="559" ht="15.75" customHeight="1">
      <c r="B559" s="29"/>
      <c r="D559" s="29"/>
    </row>
    <row r="560" ht="15.75" customHeight="1">
      <c r="B560" s="29"/>
      <c r="D560" s="29"/>
    </row>
    <row r="561" ht="15.75" customHeight="1">
      <c r="B561" s="29"/>
      <c r="D561" s="29"/>
    </row>
    <row r="562" ht="15.75" customHeight="1">
      <c r="B562" s="29"/>
      <c r="D562" s="29"/>
    </row>
    <row r="563" ht="15.75" customHeight="1">
      <c r="B563" s="29"/>
      <c r="D563" s="29"/>
    </row>
    <row r="564" ht="15.75" customHeight="1">
      <c r="B564" s="29"/>
      <c r="D564" s="29"/>
    </row>
    <row r="565" ht="15.75" customHeight="1">
      <c r="B565" s="29"/>
      <c r="D565" s="29"/>
    </row>
    <row r="566" ht="15.75" customHeight="1">
      <c r="B566" s="29"/>
      <c r="D566" s="29"/>
    </row>
    <row r="567" ht="15.75" customHeight="1">
      <c r="B567" s="29"/>
      <c r="D567" s="29"/>
    </row>
    <row r="568" ht="15.75" customHeight="1">
      <c r="B568" s="29"/>
      <c r="D568" s="29"/>
    </row>
    <row r="569" ht="15.75" customHeight="1">
      <c r="B569" s="29"/>
      <c r="D569" s="29"/>
    </row>
    <row r="570" ht="15.75" customHeight="1">
      <c r="B570" s="29"/>
      <c r="D570" s="29"/>
    </row>
    <row r="571" ht="15.75" customHeight="1">
      <c r="B571" s="29"/>
      <c r="D571" s="29"/>
    </row>
    <row r="572" ht="15.75" customHeight="1">
      <c r="B572" s="29"/>
      <c r="D572" s="29"/>
    </row>
    <row r="573" ht="15.75" customHeight="1">
      <c r="B573" s="29"/>
      <c r="D573" s="29"/>
    </row>
    <row r="574" ht="15.75" customHeight="1">
      <c r="B574" s="29"/>
      <c r="D574" s="29"/>
    </row>
    <row r="575" ht="15.75" customHeight="1">
      <c r="B575" s="29"/>
      <c r="D575" s="29"/>
    </row>
    <row r="576" ht="15.75" customHeight="1">
      <c r="B576" s="29"/>
      <c r="D576" s="29"/>
    </row>
    <row r="577" ht="15.75" customHeight="1">
      <c r="B577" s="29"/>
      <c r="D577" s="29"/>
    </row>
    <row r="578" ht="15.75" customHeight="1">
      <c r="B578" s="29"/>
      <c r="D578" s="29"/>
    </row>
    <row r="579" ht="15.75" customHeight="1">
      <c r="B579" s="29"/>
      <c r="D579" s="29"/>
    </row>
    <row r="580" ht="15.75" customHeight="1">
      <c r="B580" s="29"/>
      <c r="D580" s="29"/>
    </row>
    <row r="581" ht="15.75" customHeight="1">
      <c r="B581" s="29"/>
      <c r="D581" s="29"/>
    </row>
    <row r="582" ht="15.75" customHeight="1">
      <c r="B582" s="29"/>
      <c r="D582" s="29"/>
    </row>
    <row r="583" ht="15.75" customHeight="1">
      <c r="B583" s="29"/>
      <c r="D583" s="29"/>
    </row>
    <row r="584" ht="15.75" customHeight="1">
      <c r="B584" s="29"/>
      <c r="D584" s="29"/>
    </row>
    <row r="585" ht="15.75" customHeight="1">
      <c r="B585" s="29"/>
      <c r="D585" s="29"/>
    </row>
    <row r="586" ht="15.75" customHeight="1">
      <c r="B586" s="29"/>
      <c r="D586" s="29"/>
    </row>
    <row r="587" ht="15.75" customHeight="1">
      <c r="B587" s="29"/>
      <c r="D587" s="29"/>
    </row>
    <row r="588" ht="15.75" customHeight="1">
      <c r="B588" s="29"/>
      <c r="D588" s="29"/>
    </row>
    <row r="589" ht="15.75" customHeight="1">
      <c r="B589" s="29"/>
      <c r="D589" s="29"/>
    </row>
    <row r="590" ht="15.75" customHeight="1">
      <c r="B590" s="29"/>
      <c r="D590" s="29"/>
    </row>
    <row r="591" ht="15.75" customHeight="1">
      <c r="B591" s="29"/>
      <c r="D591" s="29"/>
    </row>
    <row r="592" ht="15.75" customHeight="1">
      <c r="B592" s="29"/>
      <c r="D592" s="29"/>
    </row>
    <row r="593" ht="15.75" customHeight="1">
      <c r="B593" s="29"/>
      <c r="D593" s="29"/>
    </row>
    <row r="594" ht="15.75" customHeight="1">
      <c r="B594" s="29"/>
      <c r="D594" s="29"/>
    </row>
    <row r="595" ht="15.75" customHeight="1">
      <c r="B595" s="29"/>
      <c r="D595" s="29"/>
    </row>
    <row r="596" ht="15.75" customHeight="1">
      <c r="B596" s="29"/>
      <c r="D596" s="29"/>
    </row>
    <row r="597" ht="15.75" customHeight="1">
      <c r="B597" s="29"/>
      <c r="D597" s="29"/>
    </row>
    <row r="598" ht="15.75" customHeight="1">
      <c r="B598" s="29"/>
      <c r="D598" s="29"/>
    </row>
    <row r="599" ht="15.75" customHeight="1">
      <c r="B599" s="29"/>
      <c r="D599" s="29"/>
    </row>
    <row r="600" ht="15.75" customHeight="1">
      <c r="B600" s="29"/>
      <c r="D600" s="29"/>
    </row>
    <row r="601" ht="15.75" customHeight="1">
      <c r="B601" s="29"/>
      <c r="D601" s="29"/>
    </row>
    <row r="602" ht="15.75" customHeight="1">
      <c r="B602" s="29"/>
      <c r="D602" s="29"/>
    </row>
    <row r="603" ht="15.75" customHeight="1">
      <c r="B603" s="29"/>
      <c r="D603" s="29"/>
    </row>
    <row r="604" ht="15.75" customHeight="1">
      <c r="B604" s="29"/>
      <c r="D604" s="29"/>
    </row>
    <row r="605" ht="15.75" customHeight="1">
      <c r="B605" s="29"/>
      <c r="D605" s="29"/>
    </row>
    <row r="606" ht="15.75" customHeight="1">
      <c r="B606" s="29"/>
      <c r="D606" s="29"/>
    </row>
    <row r="607" ht="15.75" customHeight="1">
      <c r="B607" s="29"/>
      <c r="D607" s="29"/>
    </row>
    <row r="608" ht="15.75" customHeight="1">
      <c r="B608" s="29"/>
      <c r="D608" s="29"/>
    </row>
    <row r="609" ht="15.75" customHeight="1">
      <c r="B609" s="29"/>
      <c r="D609" s="29"/>
    </row>
    <row r="610" ht="15.75" customHeight="1">
      <c r="B610" s="29"/>
      <c r="D610" s="29"/>
    </row>
    <row r="611" ht="15.75" customHeight="1">
      <c r="B611" s="29"/>
      <c r="D611" s="29"/>
    </row>
    <row r="612" ht="15.75" customHeight="1">
      <c r="B612" s="29"/>
      <c r="D612" s="29"/>
    </row>
    <row r="613" ht="15.75" customHeight="1">
      <c r="B613" s="29"/>
      <c r="D613" s="29"/>
    </row>
    <row r="614" ht="15.75" customHeight="1">
      <c r="B614" s="29"/>
      <c r="D614" s="29"/>
    </row>
    <row r="615" ht="15.75" customHeight="1">
      <c r="B615" s="29"/>
      <c r="D615" s="29"/>
    </row>
    <row r="616" ht="15.75" customHeight="1">
      <c r="B616" s="29"/>
      <c r="D616" s="29"/>
    </row>
    <row r="617" ht="15.75" customHeight="1">
      <c r="B617" s="29"/>
      <c r="D617" s="29"/>
    </row>
    <row r="618" ht="15.75" customHeight="1">
      <c r="B618" s="29"/>
      <c r="D618" s="29"/>
    </row>
    <row r="619" ht="15.75" customHeight="1">
      <c r="B619" s="29"/>
      <c r="D619" s="29"/>
    </row>
    <row r="620" ht="15.75" customHeight="1">
      <c r="B620" s="29"/>
      <c r="D620" s="29"/>
    </row>
    <row r="621" ht="15.75" customHeight="1">
      <c r="B621" s="29"/>
      <c r="D621" s="29"/>
    </row>
    <row r="622" ht="15.75" customHeight="1">
      <c r="B622" s="29"/>
      <c r="D622" s="29"/>
    </row>
    <row r="623" ht="15.75" customHeight="1">
      <c r="B623" s="29"/>
      <c r="D623" s="29"/>
    </row>
    <row r="624" ht="15.75" customHeight="1">
      <c r="B624" s="29"/>
      <c r="D624" s="29"/>
    </row>
    <row r="625" ht="15.75" customHeight="1">
      <c r="B625" s="29"/>
      <c r="D625" s="29"/>
    </row>
    <row r="626" ht="15.75" customHeight="1">
      <c r="B626" s="29"/>
      <c r="D626" s="29"/>
    </row>
    <row r="627" ht="15.75" customHeight="1">
      <c r="B627" s="29"/>
      <c r="D627" s="29"/>
    </row>
    <row r="628" ht="15.75" customHeight="1">
      <c r="B628" s="29"/>
      <c r="D628" s="29"/>
    </row>
    <row r="629" ht="15.75" customHeight="1">
      <c r="B629" s="29"/>
      <c r="D629" s="29"/>
    </row>
    <row r="630" ht="15.75" customHeight="1">
      <c r="B630" s="29"/>
      <c r="D630" s="29"/>
    </row>
    <row r="631" ht="15.75" customHeight="1">
      <c r="B631" s="29"/>
      <c r="D631" s="29"/>
    </row>
    <row r="632" ht="15.75" customHeight="1">
      <c r="B632" s="29"/>
      <c r="D632" s="29"/>
    </row>
    <row r="633" ht="15.75" customHeight="1">
      <c r="B633" s="29"/>
      <c r="D633" s="29"/>
    </row>
    <row r="634" ht="15.75" customHeight="1">
      <c r="B634" s="29"/>
      <c r="D634" s="29"/>
    </row>
    <row r="635" ht="15.75" customHeight="1">
      <c r="B635" s="29"/>
      <c r="D635" s="29"/>
    </row>
    <row r="636" ht="15.75" customHeight="1">
      <c r="B636" s="29"/>
      <c r="D636" s="29"/>
    </row>
    <row r="637" ht="15.75" customHeight="1">
      <c r="B637" s="29"/>
      <c r="D637" s="29"/>
    </row>
    <row r="638" ht="15.75" customHeight="1">
      <c r="B638" s="29"/>
      <c r="D638" s="29"/>
    </row>
    <row r="639" ht="15.75" customHeight="1">
      <c r="B639" s="29"/>
      <c r="D639" s="29"/>
    </row>
    <row r="640" ht="15.75" customHeight="1">
      <c r="B640" s="29"/>
      <c r="D640" s="29"/>
    </row>
    <row r="641" ht="15.75" customHeight="1">
      <c r="B641" s="29"/>
      <c r="D641" s="29"/>
    </row>
    <row r="642" ht="15.75" customHeight="1">
      <c r="B642" s="29"/>
      <c r="D642" s="29"/>
    </row>
    <row r="643" ht="15.75" customHeight="1">
      <c r="B643" s="29"/>
      <c r="D643" s="29"/>
    </row>
    <row r="644" ht="15.75" customHeight="1">
      <c r="B644" s="29"/>
      <c r="D644" s="29"/>
    </row>
    <row r="645" ht="15.75" customHeight="1">
      <c r="B645" s="29"/>
      <c r="D645" s="29"/>
    </row>
    <row r="646" ht="15.75" customHeight="1">
      <c r="B646" s="29"/>
      <c r="D646" s="29"/>
    </row>
    <row r="647" ht="15.75" customHeight="1">
      <c r="B647" s="29"/>
      <c r="D647" s="29"/>
    </row>
    <row r="648" ht="15.75" customHeight="1">
      <c r="B648" s="29"/>
      <c r="D648" s="29"/>
    </row>
    <row r="649" ht="15.75" customHeight="1">
      <c r="B649" s="29"/>
      <c r="D649" s="29"/>
    </row>
    <row r="650" ht="15.75" customHeight="1">
      <c r="B650" s="29"/>
      <c r="D650" s="29"/>
    </row>
    <row r="651" ht="15.75" customHeight="1">
      <c r="B651" s="29"/>
      <c r="D651" s="29"/>
    </row>
    <row r="652" ht="15.75" customHeight="1">
      <c r="B652" s="29"/>
      <c r="D652" s="29"/>
    </row>
    <row r="653" ht="15.75" customHeight="1">
      <c r="B653" s="29"/>
      <c r="D653" s="29"/>
    </row>
    <row r="654" ht="15.75" customHeight="1">
      <c r="B654" s="29"/>
      <c r="D654" s="29"/>
    </row>
    <row r="655" ht="15.75" customHeight="1">
      <c r="B655" s="29"/>
      <c r="D655" s="29"/>
    </row>
    <row r="656" ht="15.75" customHeight="1">
      <c r="B656" s="29"/>
      <c r="D656" s="29"/>
    </row>
    <row r="657" ht="15.75" customHeight="1">
      <c r="B657" s="29"/>
      <c r="D657" s="29"/>
    </row>
    <row r="658" ht="15.75" customHeight="1">
      <c r="B658" s="29"/>
      <c r="D658" s="29"/>
    </row>
    <row r="659" ht="15.75" customHeight="1">
      <c r="B659" s="29"/>
      <c r="D659" s="29"/>
    </row>
    <row r="660" ht="15.75" customHeight="1">
      <c r="B660" s="29"/>
      <c r="D660" s="29"/>
    </row>
    <row r="661" ht="15.75" customHeight="1">
      <c r="B661" s="29"/>
      <c r="D661" s="29"/>
    </row>
    <row r="662" ht="15.75" customHeight="1">
      <c r="B662" s="29"/>
      <c r="D662" s="29"/>
    </row>
    <row r="663" ht="15.75" customHeight="1">
      <c r="B663" s="29"/>
      <c r="D663" s="29"/>
    </row>
    <row r="664" ht="15.75" customHeight="1">
      <c r="B664" s="29"/>
      <c r="D664" s="29"/>
    </row>
    <row r="665" ht="15.75" customHeight="1">
      <c r="B665" s="29"/>
      <c r="D665" s="29"/>
    </row>
    <row r="666" ht="15.75" customHeight="1">
      <c r="B666" s="29"/>
      <c r="D666" s="29"/>
    </row>
    <row r="667" ht="15.75" customHeight="1">
      <c r="B667" s="29"/>
      <c r="D667" s="29"/>
    </row>
    <row r="668" ht="15.75" customHeight="1">
      <c r="B668" s="29"/>
      <c r="D668" s="29"/>
    </row>
    <row r="669" ht="15.75" customHeight="1">
      <c r="B669" s="29"/>
      <c r="D669" s="29"/>
    </row>
    <row r="670" ht="15.75" customHeight="1">
      <c r="B670" s="29"/>
      <c r="D670" s="29"/>
    </row>
    <row r="671" ht="15.75" customHeight="1">
      <c r="B671" s="29"/>
      <c r="D671" s="29"/>
    </row>
    <row r="672" ht="15.75" customHeight="1">
      <c r="B672" s="29"/>
      <c r="D672" s="29"/>
    </row>
    <row r="673" ht="15.75" customHeight="1">
      <c r="B673" s="29"/>
      <c r="D673" s="29"/>
    </row>
    <row r="674" ht="15.75" customHeight="1">
      <c r="B674" s="29"/>
      <c r="D674" s="29"/>
    </row>
    <row r="675" ht="15.75" customHeight="1">
      <c r="B675" s="29"/>
      <c r="D675" s="29"/>
    </row>
    <row r="676" ht="15.75" customHeight="1">
      <c r="B676" s="29"/>
      <c r="D676" s="29"/>
    </row>
    <row r="677" ht="15.75" customHeight="1">
      <c r="B677" s="29"/>
      <c r="D677" s="29"/>
    </row>
    <row r="678" ht="15.75" customHeight="1">
      <c r="B678" s="29"/>
      <c r="D678" s="29"/>
    </row>
    <row r="679" ht="15.75" customHeight="1">
      <c r="B679" s="29"/>
      <c r="D679" s="29"/>
    </row>
    <row r="680" ht="15.75" customHeight="1">
      <c r="B680" s="29"/>
      <c r="D680" s="29"/>
    </row>
    <row r="681" ht="15.75" customHeight="1">
      <c r="B681" s="29"/>
      <c r="D681" s="29"/>
    </row>
    <row r="682" ht="15.75" customHeight="1">
      <c r="B682" s="29"/>
      <c r="D682" s="29"/>
    </row>
    <row r="683" ht="15.75" customHeight="1">
      <c r="B683" s="29"/>
      <c r="D683" s="29"/>
    </row>
    <row r="684" ht="15.75" customHeight="1">
      <c r="B684" s="29"/>
      <c r="D684" s="29"/>
    </row>
    <row r="685" ht="15.75" customHeight="1">
      <c r="B685" s="29"/>
      <c r="D685" s="29"/>
    </row>
    <row r="686" ht="15.75" customHeight="1">
      <c r="B686" s="29"/>
      <c r="D686" s="29"/>
    </row>
    <row r="687" ht="15.75" customHeight="1">
      <c r="B687" s="29"/>
      <c r="D687" s="29"/>
    </row>
    <row r="688" ht="15.75" customHeight="1">
      <c r="B688" s="29"/>
      <c r="D688" s="29"/>
    </row>
    <row r="689" ht="15.75" customHeight="1">
      <c r="B689" s="29"/>
      <c r="D689" s="29"/>
    </row>
    <row r="690" ht="15.75" customHeight="1">
      <c r="B690" s="29"/>
      <c r="D690" s="29"/>
    </row>
    <row r="691" ht="15.75" customHeight="1">
      <c r="B691" s="29"/>
      <c r="D691" s="29"/>
    </row>
    <row r="692" ht="15.75" customHeight="1">
      <c r="B692" s="29"/>
      <c r="D692" s="29"/>
    </row>
    <row r="693" ht="15.75" customHeight="1">
      <c r="B693" s="29"/>
      <c r="D693" s="29"/>
    </row>
    <row r="694" ht="15.75" customHeight="1">
      <c r="B694" s="29"/>
      <c r="D694" s="29"/>
    </row>
    <row r="695" ht="15.75" customHeight="1">
      <c r="B695" s="29"/>
      <c r="D695" s="29"/>
    </row>
    <row r="696" ht="15.75" customHeight="1">
      <c r="B696" s="29"/>
      <c r="D696" s="29"/>
    </row>
    <row r="697" ht="15.75" customHeight="1">
      <c r="B697" s="29"/>
      <c r="D697" s="29"/>
    </row>
    <row r="698" ht="15.75" customHeight="1">
      <c r="B698" s="29"/>
      <c r="D698" s="29"/>
    </row>
    <row r="699" ht="15.75" customHeight="1">
      <c r="B699" s="29"/>
      <c r="D699" s="29"/>
    </row>
    <row r="700" ht="15.75" customHeight="1">
      <c r="B700" s="29"/>
      <c r="D700" s="29"/>
    </row>
    <row r="701" ht="15.75" customHeight="1">
      <c r="B701" s="29"/>
      <c r="D701" s="29"/>
    </row>
    <row r="702" ht="15.75" customHeight="1">
      <c r="B702" s="29"/>
      <c r="D702" s="29"/>
    </row>
    <row r="703" ht="15.75" customHeight="1">
      <c r="B703" s="29"/>
      <c r="D703" s="29"/>
    </row>
    <row r="704" ht="15.75" customHeight="1">
      <c r="B704" s="29"/>
      <c r="D704" s="29"/>
    </row>
    <row r="705" ht="15.75" customHeight="1">
      <c r="B705" s="29"/>
      <c r="D705" s="29"/>
    </row>
    <row r="706" ht="15.75" customHeight="1">
      <c r="B706" s="29"/>
      <c r="D706" s="29"/>
    </row>
    <row r="707" ht="15.75" customHeight="1">
      <c r="B707" s="29"/>
      <c r="D707" s="29"/>
    </row>
    <row r="708" ht="15.75" customHeight="1">
      <c r="B708" s="29"/>
      <c r="D708" s="29"/>
    </row>
    <row r="709" ht="15.75" customHeight="1">
      <c r="B709" s="29"/>
      <c r="D709" s="29"/>
    </row>
    <row r="710" ht="15.75" customHeight="1">
      <c r="B710" s="29"/>
      <c r="D710" s="29"/>
    </row>
    <row r="711" ht="15.75" customHeight="1">
      <c r="B711" s="29"/>
      <c r="D711" s="29"/>
    </row>
    <row r="712" ht="15.75" customHeight="1">
      <c r="B712" s="29"/>
      <c r="D712" s="29"/>
    </row>
    <row r="713" ht="15.75" customHeight="1">
      <c r="B713" s="29"/>
      <c r="D713" s="29"/>
    </row>
    <row r="714" ht="15.75" customHeight="1">
      <c r="B714" s="29"/>
      <c r="D714" s="29"/>
    </row>
    <row r="715" ht="15.75" customHeight="1">
      <c r="B715" s="29"/>
      <c r="D715" s="29"/>
    </row>
    <row r="716" ht="15.75" customHeight="1">
      <c r="B716" s="29"/>
      <c r="D716" s="29"/>
    </row>
    <row r="717" ht="15.75" customHeight="1">
      <c r="B717" s="29"/>
      <c r="D717" s="29"/>
    </row>
    <row r="718" ht="15.75" customHeight="1">
      <c r="B718" s="29"/>
      <c r="D718" s="29"/>
    </row>
    <row r="719" ht="15.75" customHeight="1">
      <c r="B719" s="29"/>
      <c r="D719" s="29"/>
    </row>
    <row r="720" ht="15.75" customHeight="1">
      <c r="B720" s="29"/>
      <c r="D720" s="29"/>
    </row>
    <row r="721" ht="15.75" customHeight="1">
      <c r="B721" s="29"/>
      <c r="D721" s="29"/>
    </row>
    <row r="722" ht="15.75" customHeight="1">
      <c r="B722" s="29"/>
      <c r="D722" s="29"/>
    </row>
    <row r="723" ht="15.75" customHeight="1">
      <c r="B723" s="29"/>
      <c r="D723" s="29"/>
    </row>
    <row r="724" ht="15.75" customHeight="1">
      <c r="B724" s="29"/>
      <c r="D724" s="29"/>
    </row>
    <row r="725" ht="15.75" customHeight="1">
      <c r="B725" s="29"/>
      <c r="D725" s="29"/>
    </row>
    <row r="726" ht="15.75" customHeight="1">
      <c r="B726" s="29"/>
      <c r="D726" s="29"/>
    </row>
    <row r="727" ht="15.75" customHeight="1">
      <c r="B727" s="29"/>
      <c r="D727" s="29"/>
    </row>
    <row r="728" ht="15.75" customHeight="1">
      <c r="B728" s="29"/>
      <c r="D728" s="29"/>
    </row>
    <row r="729" ht="15.75" customHeight="1">
      <c r="B729" s="29"/>
      <c r="D729" s="29"/>
    </row>
    <row r="730" ht="15.75" customHeight="1">
      <c r="B730" s="29"/>
      <c r="D730" s="29"/>
    </row>
    <row r="731" ht="15.75" customHeight="1">
      <c r="B731" s="29"/>
      <c r="D731" s="29"/>
    </row>
    <row r="732" ht="15.75" customHeight="1">
      <c r="B732" s="29"/>
      <c r="D732" s="29"/>
    </row>
    <row r="733" ht="15.75" customHeight="1">
      <c r="B733" s="29"/>
      <c r="D733" s="29"/>
    </row>
    <row r="734" ht="15.75" customHeight="1">
      <c r="B734" s="29"/>
      <c r="D734" s="29"/>
    </row>
    <row r="735" ht="15.75" customHeight="1">
      <c r="B735" s="29"/>
      <c r="D735" s="29"/>
    </row>
    <row r="736" ht="15.75" customHeight="1">
      <c r="B736" s="29"/>
      <c r="D736" s="29"/>
    </row>
    <row r="737" ht="15.75" customHeight="1">
      <c r="B737" s="29"/>
      <c r="D737" s="29"/>
    </row>
    <row r="738" ht="15.75" customHeight="1">
      <c r="B738" s="29"/>
      <c r="D738" s="29"/>
    </row>
    <row r="739" ht="15.75" customHeight="1">
      <c r="B739" s="29"/>
      <c r="D739" s="29"/>
    </row>
    <row r="740" ht="15.75" customHeight="1">
      <c r="B740" s="29"/>
      <c r="D740" s="29"/>
    </row>
    <row r="741" ht="15.75" customHeight="1">
      <c r="B741" s="29"/>
      <c r="D741" s="29"/>
    </row>
    <row r="742" ht="15.75" customHeight="1">
      <c r="B742" s="29"/>
      <c r="D742" s="29"/>
    </row>
    <row r="743" ht="15.75" customHeight="1">
      <c r="B743" s="29"/>
      <c r="D743" s="29"/>
    </row>
    <row r="744" ht="15.75" customHeight="1">
      <c r="B744" s="29"/>
      <c r="D744" s="29"/>
    </row>
    <row r="745" ht="15.75" customHeight="1">
      <c r="B745" s="29"/>
      <c r="D745" s="29"/>
    </row>
    <row r="746" ht="15.75" customHeight="1">
      <c r="B746" s="29"/>
      <c r="D746" s="29"/>
    </row>
    <row r="747" ht="15.75" customHeight="1">
      <c r="B747" s="29"/>
      <c r="D747" s="29"/>
    </row>
    <row r="748" ht="15.75" customHeight="1">
      <c r="B748" s="29"/>
      <c r="D748" s="29"/>
    </row>
    <row r="749" ht="15.75" customHeight="1">
      <c r="B749" s="29"/>
      <c r="D749" s="29"/>
    </row>
    <row r="750" ht="15.75" customHeight="1">
      <c r="B750" s="29"/>
      <c r="D750" s="29"/>
    </row>
    <row r="751" ht="15.75" customHeight="1">
      <c r="B751" s="29"/>
      <c r="D751" s="29"/>
    </row>
    <row r="752" ht="15.75" customHeight="1">
      <c r="B752" s="29"/>
      <c r="D752" s="29"/>
    </row>
    <row r="753" ht="15.75" customHeight="1">
      <c r="B753" s="29"/>
      <c r="D753" s="29"/>
    </row>
    <row r="754" ht="15.75" customHeight="1">
      <c r="B754" s="29"/>
      <c r="D754" s="29"/>
    </row>
    <row r="755" ht="15.75" customHeight="1">
      <c r="B755" s="29"/>
      <c r="D755" s="29"/>
    </row>
    <row r="756" ht="15.75" customHeight="1">
      <c r="B756" s="29"/>
      <c r="D756" s="29"/>
    </row>
    <row r="757" ht="15.75" customHeight="1">
      <c r="B757" s="29"/>
      <c r="D757" s="29"/>
    </row>
    <row r="758" ht="15.75" customHeight="1">
      <c r="B758" s="29"/>
      <c r="D758" s="29"/>
    </row>
    <row r="759" ht="15.75" customHeight="1">
      <c r="B759" s="29"/>
      <c r="D759" s="29"/>
    </row>
    <row r="760" ht="15.75" customHeight="1">
      <c r="B760" s="29"/>
      <c r="D760" s="29"/>
    </row>
    <row r="761" ht="15.75" customHeight="1">
      <c r="B761" s="29"/>
      <c r="D761" s="29"/>
    </row>
    <row r="762" ht="15.75" customHeight="1">
      <c r="B762" s="29"/>
      <c r="D762" s="29"/>
    </row>
    <row r="763" ht="15.75" customHeight="1">
      <c r="B763" s="29"/>
      <c r="D763" s="29"/>
    </row>
    <row r="764" ht="15.75" customHeight="1">
      <c r="B764" s="29"/>
      <c r="D764" s="29"/>
    </row>
    <row r="765" ht="15.75" customHeight="1">
      <c r="B765" s="29"/>
      <c r="D765" s="29"/>
    </row>
    <row r="766" ht="15.75" customHeight="1">
      <c r="B766" s="29"/>
      <c r="D766" s="29"/>
    </row>
    <row r="767" ht="15.75" customHeight="1">
      <c r="B767" s="29"/>
      <c r="D767" s="29"/>
    </row>
    <row r="768" ht="15.75" customHeight="1">
      <c r="B768" s="29"/>
      <c r="D768" s="29"/>
    </row>
    <row r="769" ht="15.75" customHeight="1">
      <c r="B769" s="29"/>
      <c r="D769" s="29"/>
    </row>
    <row r="770" ht="15.75" customHeight="1">
      <c r="B770" s="29"/>
      <c r="D770" s="29"/>
    </row>
    <row r="771" ht="15.75" customHeight="1">
      <c r="B771" s="29"/>
      <c r="D771" s="29"/>
    </row>
    <row r="772" ht="15.75" customHeight="1">
      <c r="B772" s="29"/>
      <c r="D772" s="29"/>
    </row>
    <row r="773" ht="15.75" customHeight="1">
      <c r="B773" s="29"/>
      <c r="D773" s="29"/>
    </row>
    <row r="774" ht="15.75" customHeight="1">
      <c r="B774" s="29"/>
      <c r="D774" s="29"/>
    </row>
    <row r="775" ht="15.75" customHeight="1">
      <c r="B775" s="29"/>
      <c r="D775" s="29"/>
    </row>
    <row r="776" ht="15.75" customHeight="1">
      <c r="B776" s="29"/>
      <c r="D776" s="29"/>
    </row>
    <row r="777" ht="15.75" customHeight="1">
      <c r="B777" s="29"/>
      <c r="D777" s="29"/>
    </row>
    <row r="778" ht="15.75" customHeight="1">
      <c r="B778" s="29"/>
      <c r="D778" s="29"/>
    </row>
    <row r="779" ht="15.75" customHeight="1">
      <c r="B779" s="29"/>
      <c r="D779" s="29"/>
    </row>
    <row r="780" ht="15.75" customHeight="1">
      <c r="B780" s="29"/>
      <c r="D780" s="29"/>
    </row>
    <row r="781" ht="15.75" customHeight="1">
      <c r="B781" s="29"/>
      <c r="D781" s="29"/>
    </row>
    <row r="782" ht="15.75" customHeight="1">
      <c r="B782" s="29"/>
      <c r="D782" s="29"/>
    </row>
    <row r="783" ht="15.75" customHeight="1">
      <c r="B783" s="29"/>
      <c r="D783" s="29"/>
    </row>
    <row r="784" ht="15.75" customHeight="1">
      <c r="B784" s="29"/>
      <c r="D784" s="29"/>
    </row>
    <row r="785" ht="15.75" customHeight="1">
      <c r="B785" s="29"/>
      <c r="D785" s="29"/>
    </row>
    <row r="786" ht="15.75" customHeight="1">
      <c r="B786" s="29"/>
      <c r="D786" s="29"/>
    </row>
    <row r="787" ht="15.75" customHeight="1">
      <c r="B787" s="29"/>
      <c r="D787" s="29"/>
    </row>
    <row r="788" ht="15.75" customHeight="1">
      <c r="B788" s="29"/>
      <c r="D788" s="29"/>
    </row>
    <row r="789" ht="15.75" customHeight="1">
      <c r="B789" s="29"/>
      <c r="D789" s="29"/>
    </row>
    <row r="790" ht="15.75" customHeight="1">
      <c r="B790" s="29"/>
      <c r="D790" s="29"/>
    </row>
    <row r="791" ht="15.75" customHeight="1">
      <c r="B791" s="29"/>
      <c r="D791" s="29"/>
    </row>
    <row r="792" ht="15.75" customHeight="1">
      <c r="B792" s="29"/>
      <c r="D792" s="29"/>
    </row>
    <row r="793" ht="15.75" customHeight="1">
      <c r="B793" s="29"/>
      <c r="D793" s="29"/>
    </row>
    <row r="794" ht="15.75" customHeight="1">
      <c r="B794" s="29"/>
      <c r="D794" s="29"/>
    </row>
    <row r="795" ht="15.75" customHeight="1">
      <c r="B795" s="29"/>
      <c r="D795" s="29"/>
    </row>
    <row r="796" ht="15.75" customHeight="1">
      <c r="B796" s="29"/>
      <c r="D796" s="29"/>
    </row>
    <row r="797" ht="15.75" customHeight="1">
      <c r="B797" s="29"/>
      <c r="D797" s="29"/>
    </row>
    <row r="798" ht="15.75" customHeight="1">
      <c r="B798" s="29"/>
      <c r="D798" s="29"/>
    </row>
    <row r="799" ht="15.75" customHeight="1">
      <c r="B799" s="29"/>
      <c r="D799" s="29"/>
    </row>
    <row r="800" ht="15.75" customHeight="1">
      <c r="B800" s="29"/>
      <c r="D800" s="29"/>
    </row>
    <row r="801" ht="15.75" customHeight="1">
      <c r="B801" s="29"/>
      <c r="D801" s="29"/>
    </row>
    <row r="802" ht="15.75" customHeight="1">
      <c r="B802" s="29"/>
      <c r="D802" s="29"/>
    </row>
    <row r="803" ht="15.75" customHeight="1">
      <c r="B803" s="29"/>
      <c r="D803" s="29"/>
    </row>
    <row r="804" ht="15.75" customHeight="1">
      <c r="B804" s="29"/>
      <c r="D804" s="29"/>
    </row>
    <row r="805" ht="15.75" customHeight="1">
      <c r="B805" s="29"/>
      <c r="D805" s="29"/>
    </row>
    <row r="806" ht="15.75" customHeight="1">
      <c r="B806" s="29"/>
      <c r="D806" s="29"/>
    </row>
    <row r="807" ht="15.75" customHeight="1">
      <c r="B807" s="29"/>
      <c r="D807" s="29"/>
    </row>
    <row r="808" ht="15.75" customHeight="1">
      <c r="B808" s="29"/>
      <c r="D808" s="29"/>
    </row>
    <row r="809" ht="15.75" customHeight="1">
      <c r="B809" s="29"/>
      <c r="D809" s="29"/>
    </row>
    <row r="810" ht="15.75" customHeight="1">
      <c r="B810" s="29"/>
      <c r="D810" s="29"/>
    </row>
    <row r="811" ht="15.75" customHeight="1">
      <c r="B811" s="29"/>
      <c r="D811" s="29"/>
    </row>
    <row r="812" ht="15.75" customHeight="1">
      <c r="B812" s="29"/>
      <c r="D812" s="29"/>
    </row>
    <row r="813" ht="15.75" customHeight="1">
      <c r="B813" s="29"/>
      <c r="D813" s="29"/>
    </row>
    <row r="814" ht="15.75" customHeight="1">
      <c r="B814" s="29"/>
      <c r="D814" s="29"/>
    </row>
    <row r="815" ht="15.75" customHeight="1">
      <c r="B815" s="29"/>
      <c r="D815" s="29"/>
    </row>
    <row r="816" ht="15.75" customHeight="1">
      <c r="B816" s="29"/>
      <c r="D816" s="29"/>
    </row>
    <row r="817" ht="15.75" customHeight="1">
      <c r="B817" s="29"/>
      <c r="D817" s="29"/>
    </row>
    <row r="818" ht="15.75" customHeight="1">
      <c r="B818" s="29"/>
      <c r="D818" s="29"/>
    </row>
    <row r="819" ht="15.75" customHeight="1">
      <c r="B819" s="29"/>
      <c r="D819" s="29"/>
    </row>
    <row r="820" ht="15.75" customHeight="1">
      <c r="B820" s="29"/>
      <c r="D820" s="29"/>
    </row>
    <row r="821" ht="15.75" customHeight="1">
      <c r="B821" s="29"/>
      <c r="D821" s="29"/>
    </row>
    <row r="822" ht="15.75" customHeight="1">
      <c r="B822" s="29"/>
      <c r="D822" s="29"/>
    </row>
    <row r="823" ht="15.75" customHeight="1">
      <c r="B823" s="29"/>
      <c r="D823" s="29"/>
    </row>
    <row r="824" ht="15.75" customHeight="1">
      <c r="B824" s="29"/>
      <c r="D824" s="29"/>
    </row>
    <row r="825" ht="15.75" customHeight="1">
      <c r="B825" s="29"/>
      <c r="D825" s="29"/>
    </row>
    <row r="826" ht="15.75" customHeight="1">
      <c r="B826" s="29"/>
      <c r="D826" s="29"/>
    </row>
    <row r="827" ht="15.75" customHeight="1">
      <c r="B827" s="29"/>
      <c r="D827" s="29"/>
    </row>
    <row r="828" ht="15.75" customHeight="1">
      <c r="B828" s="29"/>
      <c r="D828" s="29"/>
    </row>
    <row r="829" ht="15.75" customHeight="1">
      <c r="B829" s="29"/>
      <c r="D829" s="29"/>
    </row>
    <row r="830" ht="15.75" customHeight="1">
      <c r="B830" s="29"/>
      <c r="D830" s="29"/>
    </row>
    <row r="831" ht="15.75" customHeight="1">
      <c r="B831" s="29"/>
      <c r="D831" s="29"/>
    </row>
    <row r="832" ht="15.75" customHeight="1">
      <c r="B832" s="29"/>
      <c r="D832" s="29"/>
    </row>
    <row r="833" ht="15.75" customHeight="1">
      <c r="B833" s="29"/>
      <c r="D833" s="29"/>
    </row>
    <row r="834" ht="15.75" customHeight="1">
      <c r="B834" s="29"/>
      <c r="D834" s="29"/>
    </row>
    <row r="835" ht="15.75" customHeight="1">
      <c r="B835" s="29"/>
      <c r="D835" s="29"/>
    </row>
    <row r="836" ht="15.75" customHeight="1">
      <c r="B836" s="29"/>
      <c r="D836" s="29"/>
    </row>
    <row r="837" ht="15.75" customHeight="1">
      <c r="B837" s="29"/>
      <c r="D837" s="29"/>
    </row>
    <row r="838" ht="15.75" customHeight="1">
      <c r="B838" s="29"/>
      <c r="D838" s="29"/>
    </row>
    <row r="839" ht="15.75" customHeight="1">
      <c r="B839" s="29"/>
      <c r="D839" s="29"/>
    </row>
    <row r="840" ht="15.75" customHeight="1">
      <c r="B840" s="29"/>
      <c r="D840" s="29"/>
    </row>
    <row r="841" ht="15.75" customHeight="1">
      <c r="B841" s="29"/>
      <c r="D841" s="29"/>
    </row>
    <row r="842" ht="15.75" customHeight="1">
      <c r="B842" s="29"/>
      <c r="D842" s="29"/>
    </row>
    <row r="843" ht="15.75" customHeight="1">
      <c r="B843" s="29"/>
      <c r="D843" s="29"/>
    </row>
    <row r="844" ht="15.75" customHeight="1">
      <c r="B844" s="29"/>
      <c r="D844" s="29"/>
    </row>
    <row r="845" ht="15.75" customHeight="1">
      <c r="B845" s="29"/>
      <c r="D845" s="29"/>
    </row>
    <row r="846" ht="15.75" customHeight="1">
      <c r="B846" s="29"/>
      <c r="D846" s="29"/>
    </row>
    <row r="847" ht="15.75" customHeight="1">
      <c r="B847" s="29"/>
      <c r="D847" s="29"/>
    </row>
    <row r="848" ht="15.75" customHeight="1">
      <c r="B848" s="29"/>
      <c r="D848" s="29"/>
    </row>
    <row r="849" ht="15.75" customHeight="1">
      <c r="B849" s="29"/>
      <c r="D849" s="29"/>
    </row>
    <row r="850" ht="15.75" customHeight="1">
      <c r="B850" s="29"/>
      <c r="D850" s="29"/>
    </row>
    <row r="851" ht="15.75" customHeight="1">
      <c r="B851" s="29"/>
      <c r="D851" s="29"/>
    </row>
    <row r="852" ht="15.75" customHeight="1">
      <c r="B852" s="29"/>
      <c r="D852" s="29"/>
    </row>
    <row r="853" ht="15.75" customHeight="1">
      <c r="B853" s="29"/>
      <c r="D853" s="29"/>
    </row>
    <row r="854" ht="15.75" customHeight="1">
      <c r="B854" s="29"/>
      <c r="D854" s="29"/>
    </row>
    <row r="855" ht="15.75" customHeight="1">
      <c r="B855" s="29"/>
      <c r="D855" s="29"/>
    </row>
    <row r="856" ht="15.75" customHeight="1">
      <c r="B856" s="29"/>
      <c r="D856" s="29"/>
    </row>
    <row r="857" ht="15.75" customHeight="1">
      <c r="B857" s="29"/>
      <c r="D857" s="29"/>
    </row>
    <row r="858" ht="15.75" customHeight="1">
      <c r="B858" s="29"/>
      <c r="D858" s="29"/>
    </row>
    <row r="859" ht="15.75" customHeight="1">
      <c r="B859" s="29"/>
      <c r="D859" s="29"/>
    </row>
    <row r="860" ht="15.75" customHeight="1">
      <c r="B860" s="29"/>
      <c r="D860" s="29"/>
    </row>
    <row r="861" ht="15.75" customHeight="1">
      <c r="B861" s="29"/>
      <c r="D861" s="29"/>
    </row>
    <row r="862" ht="15.75" customHeight="1">
      <c r="B862" s="29"/>
      <c r="D862" s="29"/>
    </row>
    <row r="863" ht="15.75" customHeight="1">
      <c r="B863" s="29"/>
      <c r="D863" s="29"/>
    </row>
    <row r="864" ht="15.75" customHeight="1">
      <c r="B864" s="29"/>
      <c r="D864" s="29"/>
    </row>
    <row r="865" ht="15.75" customHeight="1">
      <c r="B865" s="29"/>
      <c r="D865" s="29"/>
    </row>
    <row r="866" ht="15.75" customHeight="1">
      <c r="B866" s="29"/>
      <c r="D866" s="29"/>
    </row>
    <row r="867" ht="15.75" customHeight="1">
      <c r="B867" s="29"/>
      <c r="D867" s="29"/>
    </row>
    <row r="868" ht="15.75" customHeight="1">
      <c r="B868" s="29"/>
      <c r="D868" s="29"/>
    </row>
    <row r="869" ht="15.75" customHeight="1">
      <c r="B869" s="29"/>
      <c r="D869" s="29"/>
    </row>
    <row r="870" ht="15.75" customHeight="1">
      <c r="B870" s="29"/>
      <c r="D870" s="29"/>
    </row>
    <row r="871" ht="15.75" customHeight="1">
      <c r="B871" s="29"/>
      <c r="D871" s="29"/>
    </row>
    <row r="872" ht="15.75" customHeight="1">
      <c r="B872" s="29"/>
      <c r="D872" s="29"/>
    </row>
    <row r="873" ht="15.75" customHeight="1">
      <c r="B873" s="29"/>
      <c r="D873" s="29"/>
    </row>
    <row r="874" ht="15.75" customHeight="1">
      <c r="B874" s="29"/>
      <c r="D874" s="29"/>
    </row>
    <row r="875" ht="15.75" customHeight="1">
      <c r="B875" s="29"/>
      <c r="D875" s="29"/>
    </row>
    <row r="876" ht="15.75" customHeight="1">
      <c r="B876" s="29"/>
      <c r="D876" s="29"/>
    </row>
    <row r="877" ht="15.75" customHeight="1">
      <c r="B877" s="29"/>
      <c r="D877" s="29"/>
    </row>
    <row r="878" ht="15.75" customHeight="1">
      <c r="B878" s="29"/>
      <c r="D878" s="29"/>
    </row>
    <row r="879" ht="15.75" customHeight="1">
      <c r="B879" s="29"/>
      <c r="D879" s="29"/>
    </row>
    <row r="880" ht="15.75" customHeight="1">
      <c r="B880" s="29"/>
      <c r="D880" s="29"/>
    </row>
    <row r="881" ht="15.75" customHeight="1">
      <c r="B881" s="29"/>
      <c r="D881" s="29"/>
    </row>
    <row r="882" ht="15.75" customHeight="1">
      <c r="B882" s="29"/>
      <c r="D882" s="29"/>
    </row>
    <row r="883" ht="15.75" customHeight="1">
      <c r="B883" s="29"/>
      <c r="D883" s="29"/>
    </row>
    <row r="884" ht="15.75" customHeight="1">
      <c r="B884" s="29"/>
      <c r="D884" s="29"/>
    </row>
    <row r="885" ht="15.75" customHeight="1">
      <c r="B885" s="29"/>
      <c r="D885" s="29"/>
    </row>
    <row r="886" ht="15.75" customHeight="1">
      <c r="B886" s="29"/>
      <c r="D886" s="29"/>
    </row>
    <row r="887" ht="15.75" customHeight="1">
      <c r="B887" s="29"/>
      <c r="D887" s="29"/>
    </row>
    <row r="888" ht="15.75" customHeight="1">
      <c r="B888" s="29"/>
      <c r="D888" s="29"/>
    </row>
    <row r="889" ht="15.75" customHeight="1">
      <c r="B889" s="29"/>
      <c r="D889" s="29"/>
    </row>
    <row r="890" ht="15.75" customHeight="1">
      <c r="B890" s="29"/>
      <c r="D890" s="29"/>
    </row>
    <row r="891" ht="15.75" customHeight="1">
      <c r="B891" s="29"/>
      <c r="D891" s="29"/>
    </row>
    <row r="892" ht="15.75" customHeight="1">
      <c r="B892" s="29"/>
      <c r="D892" s="29"/>
    </row>
    <row r="893" ht="15.75" customHeight="1">
      <c r="B893" s="29"/>
      <c r="D893" s="29"/>
    </row>
    <row r="894" ht="15.75" customHeight="1">
      <c r="B894" s="29"/>
      <c r="D894" s="29"/>
    </row>
    <row r="895" ht="15.75" customHeight="1">
      <c r="B895" s="29"/>
      <c r="D895" s="29"/>
    </row>
    <row r="896" ht="15.75" customHeight="1">
      <c r="B896" s="29"/>
      <c r="D896" s="29"/>
    </row>
    <row r="897" ht="15.75" customHeight="1">
      <c r="B897" s="29"/>
      <c r="D897" s="29"/>
    </row>
    <row r="898" ht="15.75" customHeight="1">
      <c r="B898" s="29"/>
      <c r="D898" s="29"/>
    </row>
    <row r="899" ht="15.75" customHeight="1">
      <c r="B899" s="29"/>
      <c r="D899" s="29"/>
    </row>
    <row r="900" ht="15.75" customHeight="1">
      <c r="B900" s="29"/>
      <c r="D900" s="29"/>
    </row>
    <row r="901" ht="15.75" customHeight="1">
      <c r="B901" s="29"/>
      <c r="D901" s="29"/>
    </row>
    <row r="902" ht="15.75" customHeight="1">
      <c r="B902" s="29"/>
      <c r="D902" s="29"/>
    </row>
    <row r="903" ht="15.75" customHeight="1">
      <c r="B903" s="29"/>
      <c r="D903" s="29"/>
    </row>
    <row r="904" ht="15.75" customHeight="1">
      <c r="B904" s="29"/>
      <c r="D904" s="29"/>
    </row>
    <row r="905" ht="15.75" customHeight="1">
      <c r="B905" s="29"/>
      <c r="D905" s="29"/>
    </row>
    <row r="906" ht="15.75" customHeight="1">
      <c r="B906" s="29"/>
      <c r="D906" s="29"/>
    </row>
    <row r="907" ht="15.75" customHeight="1">
      <c r="B907" s="29"/>
      <c r="D907" s="29"/>
    </row>
    <row r="908" ht="15.75" customHeight="1">
      <c r="B908" s="29"/>
      <c r="D908" s="29"/>
    </row>
    <row r="909" ht="15.75" customHeight="1">
      <c r="B909" s="29"/>
      <c r="D909" s="29"/>
    </row>
    <row r="910" ht="15.75" customHeight="1">
      <c r="B910" s="29"/>
      <c r="D910" s="29"/>
    </row>
    <row r="911" ht="15.75" customHeight="1">
      <c r="B911" s="29"/>
      <c r="D911" s="29"/>
    </row>
    <row r="912" ht="15.75" customHeight="1">
      <c r="B912" s="29"/>
      <c r="D912" s="29"/>
    </row>
    <row r="913" ht="15.75" customHeight="1">
      <c r="B913" s="29"/>
      <c r="D913" s="29"/>
    </row>
    <row r="914" ht="15.75" customHeight="1">
      <c r="B914" s="29"/>
      <c r="D914" s="29"/>
    </row>
    <row r="915" ht="15.75" customHeight="1">
      <c r="B915" s="29"/>
      <c r="D915" s="29"/>
    </row>
    <row r="916" ht="15.75" customHeight="1">
      <c r="B916" s="29"/>
      <c r="D916" s="29"/>
    </row>
    <row r="917" ht="15.75" customHeight="1">
      <c r="B917" s="29"/>
      <c r="D917" s="29"/>
    </row>
    <row r="918" ht="15.75" customHeight="1">
      <c r="B918" s="29"/>
      <c r="D918" s="29"/>
    </row>
    <row r="919" ht="15.75" customHeight="1">
      <c r="B919" s="29"/>
      <c r="D919" s="29"/>
    </row>
    <row r="920" ht="15.75" customHeight="1">
      <c r="B920" s="29"/>
      <c r="D920" s="29"/>
    </row>
    <row r="921" ht="15.75" customHeight="1">
      <c r="B921" s="29"/>
      <c r="D921" s="29"/>
    </row>
    <row r="922" ht="15.75" customHeight="1">
      <c r="B922" s="29"/>
      <c r="D922" s="29"/>
    </row>
    <row r="923" ht="15.75" customHeight="1">
      <c r="B923" s="29"/>
      <c r="D923" s="29"/>
    </row>
    <row r="924" ht="15.75" customHeight="1">
      <c r="B924" s="29"/>
      <c r="D924" s="29"/>
    </row>
    <row r="925" ht="15.75" customHeight="1">
      <c r="B925" s="29"/>
      <c r="D925" s="29"/>
    </row>
    <row r="926" ht="15.75" customHeight="1">
      <c r="B926" s="29"/>
      <c r="D926" s="29"/>
    </row>
    <row r="927" ht="15.75" customHeight="1">
      <c r="B927" s="29"/>
      <c r="D927" s="29"/>
    </row>
    <row r="928" ht="15.75" customHeight="1">
      <c r="B928" s="29"/>
      <c r="D928" s="29"/>
    </row>
    <row r="929" ht="15.75" customHeight="1">
      <c r="B929" s="29"/>
      <c r="D929" s="29"/>
    </row>
    <row r="930" ht="15.75" customHeight="1">
      <c r="B930" s="29"/>
      <c r="D930" s="29"/>
    </row>
    <row r="931" ht="15.75" customHeight="1">
      <c r="B931" s="29"/>
      <c r="D931" s="29"/>
    </row>
    <row r="932" ht="15.75" customHeight="1">
      <c r="B932" s="29"/>
      <c r="D932" s="29"/>
    </row>
    <row r="933" ht="15.75" customHeight="1">
      <c r="B933" s="29"/>
      <c r="D933" s="29"/>
    </row>
    <row r="934" ht="15.75" customHeight="1">
      <c r="B934" s="29"/>
      <c r="D934" s="29"/>
    </row>
    <row r="935" ht="15.75" customHeight="1">
      <c r="B935" s="29"/>
      <c r="D935" s="29"/>
    </row>
    <row r="936" ht="15.75" customHeight="1">
      <c r="B936" s="29"/>
      <c r="D936" s="29"/>
    </row>
    <row r="937" ht="15.75" customHeight="1">
      <c r="B937" s="29"/>
      <c r="D937" s="29"/>
    </row>
    <row r="938" ht="15.75" customHeight="1">
      <c r="B938" s="29"/>
      <c r="D938" s="29"/>
    </row>
    <row r="939" ht="15.75" customHeight="1">
      <c r="B939" s="29"/>
      <c r="D939" s="29"/>
    </row>
    <row r="940" ht="15.75" customHeight="1">
      <c r="B940" s="29"/>
      <c r="D940" s="29"/>
    </row>
    <row r="941" ht="15.75" customHeight="1">
      <c r="B941" s="29"/>
      <c r="D941" s="29"/>
    </row>
    <row r="942" ht="15.75" customHeight="1">
      <c r="B942" s="29"/>
      <c r="D942" s="29"/>
    </row>
    <row r="943" ht="15.75" customHeight="1">
      <c r="B943" s="29"/>
      <c r="D943" s="29"/>
    </row>
    <row r="944" ht="15.75" customHeight="1">
      <c r="B944" s="29"/>
      <c r="D944" s="29"/>
    </row>
    <row r="945" ht="15.75" customHeight="1">
      <c r="B945" s="29"/>
      <c r="D945" s="29"/>
    </row>
    <row r="946" ht="15.75" customHeight="1">
      <c r="B946" s="29"/>
      <c r="D946" s="29"/>
    </row>
    <row r="947" ht="15.75" customHeight="1">
      <c r="B947" s="29"/>
      <c r="D947" s="29"/>
    </row>
    <row r="948" ht="15.75" customHeight="1">
      <c r="B948" s="29"/>
      <c r="D948" s="29"/>
    </row>
    <row r="949" ht="15.75" customHeight="1">
      <c r="B949" s="29"/>
      <c r="D949" s="29"/>
    </row>
    <row r="950" ht="15.75" customHeight="1">
      <c r="B950" s="29"/>
      <c r="D950" s="29"/>
    </row>
    <row r="951" ht="15.75" customHeight="1">
      <c r="B951" s="29"/>
      <c r="D951" s="29"/>
    </row>
    <row r="952" ht="15.75" customHeight="1">
      <c r="B952" s="29"/>
      <c r="D952" s="29"/>
    </row>
    <row r="953" ht="15.75" customHeight="1">
      <c r="B953" s="29"/>
      <c r="D953" s="29"/>
    </row>
    <row r="954" ht="15.75" customHeight="1">
      <c r="B954" s="29"/>
      <c r="D954" s="29"/>
    </row>
    <row r="955" ht="15.75" customHeight="1">
      <c r="B955" s="29"/>
      <c r="D955" s="29"/>
    </row>
    <row r="956" ht="15.75" customHeight="1">
      <c r="B956" s="29"/>
      <c r="D956" s="29"/>
    </row>
    <row r="957" ht="15.75" customHeight="1">
      <c r="B957" s="29"/>
      <c r="D957" s="29"/>
    </row>
    <row r="958" ht="15.75" customHeight="1">
      <c r="B958" s="29"/>
      <c r="D958" s="29"/>
    </row>
    <row r="959" ht="15.75" customHeight="1">
      <c r="B959" s="29"/>
      <c r="D959" s="29"/>
    </row>
    <row r="960" ht="15.75" customHeight="1">
      <c r="B960" s="29"/>
      <c r="D960" s="29"/>
    </row>
    <row r="961" ht="15.75" customHeight="1">
      <c r="B961" s="29"/>
      <c r="D961" s="29"/>
    </row>
    <row r="962" ht="15.75" customHeight="1">
      <c r="B962" s="29"/>
      <c r="D962" s="29"/>
    </row>
    <row r="963" ht="15.75" customHeight="1">
      <c r="B963" s="29"/>
      <c r="D963" s="29"/>
    </row>
    <row r="964" ht="15.75" customHeight="1">
      <c r="B964" s="29"/>
      <c r="D964" s="29"/>
    </row>
    <row r="965" ht="15.75" customHeight="1">
      <c r="B965" s="29"/>
      <c r="D965" s="29"/>
    </row>
    <row r="966" ht="15.75" customHeight="1">
      <c r="B966" s="29"/>
      <c r="D966" s="29"/>
    </row>
    <row r="967" ht="15.75" customHeight="1">
      <c r="B967" s="29"/>
      <c r="D967" s="29"/>
    </row>
    <row r="968" ht="15.75" customHeight="1">
      <c r="B968" s="29"/>
      <c r="D968" s="29"/>
    </row>
    <row r="969" ht="15.75" customHeight="1">
      <c r="B969" s="29"/>
      <c r="D969" s="29"/>
    </row>
    <row r="970" ht="15.75" customHeight="1">
      <c r="B970" s="29"/>
      <c r="D970" s="29"/>
    </row>
    <row r="971" ht="15.75" customHeight="1">
      <c r="B971" s="29"/>
      <c r="D971" s="29"/>
    </row>
    <row r="972" ht="15.75" customHeight="1">
      <c r="B972" s="29"/>
      <c r="D972" s="29"/>
    </row>
    <row r="973" ht="15.75" customHeight="1">
      <c r="B973" s="29"/>
      <c r="D973" s="29"/>
    </row>
    <row r="974" ht="15.75" customHeight="1">
      <c r="B974" s="29"/>
      <c r="D974" s="29"/>
    </row>
    <row r="975" ht="15.75" customHeight="1">
      <c r="B975" s="29"/>
      <c r="D975" s="29"/>
    </row>
    <row r="976" ht="15.75" customHeight="1">
      <c r="B976" s="29"/>
      <c r="D976" s="29"/>
    </row>
    <row r="977" ht="15.75" customHeight="1">
      <c r="B977" s="29"/>
      <c r="D977" s="29"/>
    </row>
    <row r="978" ht="15.75" customHeight="1">
      <c r="B978" s="29"/>
      <c r="D978" s="29"/>
    </row>
    <row r="979" ht="15.75" customHeight="1">
      <c r="B979" s="29"/>
      <c r="D979" s="29"/>
    </row>
    <row r="980" ht="15.75" customHeight="1">
      <c r="B980" s="29"/>
      <c r="D980" s="29"/>
    </row>
    <row r="981" ht="15.75" customHeight="1">
      <c r="B981" s="29"/>
      <c r="D981" s="29"/>
    </row>
    <row r="982" ht="15.75" customHeight="1">
      <c r="B982" s="29"/>
      <c r="D982" s="29"/>
    </row>
    <row r="983" ht="15.75" customHeight="1">
      <c r="B983" s="29"/>
      <c r="D983" s="29"/>
    </row>
    <row r="984" ht="15.75" customHeight="1">
      <c r="B984" s="29"/>
      <c r="D984" s="29"/>
    </row>
    <row r="985" ht="15.75" customHeight="1">
      <c r="B985" s="29"/>
      <c r="D985" s="29"/>
    </row>
    <row r="986" ht="15.75" customHeight="1">
      <c r="B986" s="29"/>
      <c r="D986" s="29"/>
    </row>
    <row r="987" ht="15.75" customHeight="1">
      <c r="B987" s="29"/>
      <c r="D987" s="29"/>
    </row>
    <row r="988" ht="15.75" customHeight="1">
      <c r="B988" s="29"/>
      <c r="D988" s="29"/>
    </row>
    <row r="989" ht="15.75" customHeight="1">
      <c r="B989" s="29"/>
      <c r="D989" s="29"/>
    </row>
    <row r="990" ht="15.75" customHeight="1">
      <c r="B990" s="29"/>
      <c r="D990" s="29"/>
    </row>
    <row r="991" ht="15.75" customHeight="1">
      <c r="B991" s="29"/>
      <c r="D991" s="29"/>
    </row>
    <row r="992" ht="15.75" customHeight="1">
      <c r="B992" s="29"/>
      <c r="D992" s="29"/>
    </row>
    <row r="993" ht="15.75" customHeight="1">
      <c r="B993" s="29"/>
      <c r="D993" s="29"/>
    </row>
    <row r="994" ht="15.75" customHeight="1">
      <c r="B994" s="29"/>
      <c r="D994" s="29"/>
    </row>
    <row r="995" ht="15.75" customHeight="1">
      <c r="B995" s="29"/>
      <c r="D995" s="29"/>
    </row>
    <row r="996" ht="15.75" customHeight="1">
      <c r="B996" s="29"/>
      <c r="D996" s="29"/>
    </row>
    <row r="997" ht="15.75" customHeight="1">
      <c r="B997" s="29"/>
      <c r="D997" s="29"/>
    </row>
    <row r="998" ht="15.75" customHeight="1">
      <c r="B998" s="29"/>
      <c r="D998" s="29"/>
    </row>
    <row r="999" ht="15.75" customHeight="1">
      <c r="B999" s="29"/>
      <c r="D999" s="29"/>
    </row>
    <row r="1000" ht="15.75" customHeight="1">
      <c r="B1000" s="29"/>
      <c r="D1000" s="29"/>
    </row>
    <row r="1001" ht="15.75" customHeight="1">
      <c r="B1001" s="29"/>
      <c r="D1001" s="29"/>
    </row>
    <row r="1002" ht="15.75" customHeight="1">
      <c r="B1002" s="29"/>
      <c r="D1002" s="29"/>
    </row>
    <row r="1003" ht="15.75" customHeight="1">
      <c r="B1003" s="29"/>
      <c r="D1003" s="29"/>
    </row>
    <row r="1004" ht="15.75" customHeight="1">
      <c r="B1004" s="29"/>
      <c r="D1004" s="29"/>
    </row>
    <row r="1005" ht="15.75" customHeight="1">
      <c r="B1005" s="29"/>
      <c r="D1005" s="29"/>
    </row>
    <row r="1006" ht="15.75" customHeight="1">
      <c r="B1006" s="29"/>
      <c r="D1006" s="29"/>
    </row>
    <row r="1007" ht="15.75" customHeight="1">
      <c r="B1007" s="29"/>
      <c r="D1007" s="29"/>
    </row>
    <row r="1008" ht="15.75" customHeight="1">
      <c r="B1008" s="29"/>
      <c r="D1008" s="29"/>
    </row>
    <row r="1009" ht="15.75" customHeight="1">
      <c r="B1009" s="29"/>
      <c r="D1009" s="29"/>
    </row>
    <row r="1010" ht="15.75" customHeight="1">
      <c r="B1010" s="29"/>
      <c r="D1010" s="29"/>
    </row>
    <row r="1011" ht="15.75" customHeight="1">
      <c r="B1011" s="29"/>
      <c r="D1011" s="29"/>
    </row>
    <row r="1012" ht="15.75" customHeight="1">
      <c r="B1012" s="29"/>
      <c r="D1012" s="29"/>
    </row>
    <row r="1013" ht="15.75" customHeight="1">
      <c r="B1013" s="29"/>
      <c r="D1013" s="29"/>
    </row>
    <row r="1014" ht="15.75" customHeight="1">
      <c r="B1014" s="29"/>
      <c r="D1014" s="29"/>
    </row>
    <row r="1015" ht="15.75" customHeight="1">
      <c r="B1015" s="29"/>
      <c r="D1015" s="29"/>
    </row>
    <row r="1016" ht="15.75" customHeight="1">
      <c r="B1016" s="29"/>
      <c r="D1016" s="29"/>
    </row>
    <row r="1017" ht="15.75" customHeight="1">
      <c r="B1017" s="29"/>
      <c r="D1017" s="29"/>
    </row>
    <row r="1018" ht="15.75" customHeight="1">
      <c r="B1018" s="29"/>
      <c r="D1018" s="29"/>
    </row>
    <row r="1019" ht="15.75" customHeight="1">
      <c r="B1019" s="29"/>
      <c r="D1019" s="29"/>
    </row>
    <row r="1020" ht="15.75" customHeight="1">
      <c r="B1020" s="29"/>
      <c r="D1020" s="29"/>
    </row>
    <row r="1021" ht="15.75" customHeight="1">
      <c r="B1021" s="29"/>
      <c r="D1021" s="29"/>
    </row>
    <row r="1022" ht="15.75" customHeight="1">
      <c r="B1022" s="29"/>
      <c r="D1022" s="29"/>
    </row>
    <row r="1023" ht="15.75" customHeight="1">
      <c r="B1023" s="29"/>
      <c r="D1023" s="29"/>
    </row>
    <row r="1024" ht="15.75" customHeight="1">
      <c r="B1024" s="29"/>
      <c r="D1024" s="29"/>
    </row>
    <row r="1025" ht="15.75" customHeight="1">
      <c r="B1025" s="29"/>
      <c r="D1025" s="29"/>
    </row>
    <row r="1026" ht="15.75" customHeight="1">
      <c r="B1026" s="29"/>
      <c r="D1026" s="29"/>
    </row>
    <row r="1027" ht="15.75" customHeight="1">
      <c r="B1027" s="29"/>
      <c r="D1027" s="29"/>
    </row>
    <row r="1028" ht="15.75" customHeight="1">
      <c r="B1028" s="29"/>
      <c r="D1028" s="29"/>
    </row>
    <row r="1029" ht="15.75" customHeight="1">
      <c r="B1029" s="29"/>
      <c r="D1029" s="29"/>
    </row>
    <row r="1030" ht="15.75" customHeight="1">
      <c r="B1030" s="29"/>
      <c r="D1030" s="29"/>
    </row>
    <row r="1031" ht="15.75" customHeight="1">
      <c r="B1031" s="29"/>
      <c r="D1031" s="29"/>
    </row>
    <row r="1032" ht="15.75" customHeight="1">
      <c r="B1032" s="29"/>
      <c r="D1032" s="29"/>
    </row>
    <row r="1033" ht="15.75" customHeight="1">
      <c r="B1033" s="29"/>
      <c r="D1033" s="29"/>
    </row>
    <row r="1034" ht="15.75" customHeight="1">
      <c r="B1034" s="29"/>
      <c r="D1034" s="29"/>
    </row>
    <row r="1035" ht="15.75" customHeight="1">
      <c r="B1035" s="29"/>
      <c r="D1035" s="29"/>
    </row>
    <row r="1036" ht="15.75" customHeight="1">
      <c r="B1036" s="29"/>
      <c r="D1036" s="29"/>
    </row>
    <row r="1037" ht="15.75" customHeight="1">
      <c r="B1037" s="29"/>
      <c r="D1037" s="29"/>
    </row>
    <row r="1038" ht="15.75" customHeight="1">
      <c r="B1038" s="29"/>
      <c r="D1038" s="29"/>
    </row>
    <row r="1039" ht="15.75" customHeight="1">
      <c r="B1039" s="29"/>
      <c r="D1039" s="29"/>
    </row>
    <row r="1040" ht="15.75" customHeight="1">
      <c r="B1040" s="29"/>
      <c r="D1040" s="29"/>
    </row>
    <row r="1041" ht="15.75" customHeight="1">
      <c r="B1041" s="29"/>
      <c r="D1041" s="29"/>
    </row>
    <row r="1042" ht="15.75" customHeight="1">
      <c r="B1042" s="29"/>
      <c r="D1042" s="29"/>
    </row>
    <row r="1043" ht="15.75" customHeight="1">
      <c r="B1043" s="29"/>
      <c r="D1043" s="29"/>
    </row>
    <row r="1044" ht="15.75" customHeight="1">
      <c r="B1044" s="29"/>
      <c r="D1044" s="29"/>
    </row>
    <row r="1045" ht="15.75" customHeight="1">
      <c r="B1045" s="29"/>
      <c r="D1045" s="29"/>
    </row>
    <row r="1046" ht="15.75" customHeight="1">
      <c r="B1046" s="29"/>
      <c r="D1046" s="29"/>
    </row>
    <row r="1047" ht="15.75" customHeight="1">
      <c r="B1047" s="29"/>
      <c r="D1047" s="29"/>
    </row>
    <row r="1048" ht="15.75" customHeight="1">
      <c r="B1048" s="29"/>
      <c r="D1048" s="29"/>
    </row>
    <row r="1049" ht="15.75" customHeight="1">
      <c r="B1049" s="29"/>
      <c r="D1049" s="29"/>
    </row>
    <row r="1050" ht="15.75" customHeight="1">
      <c r="B1050" s="29"/>
      <c r="D1050" s="29"/>
    </row>
    <row r="1051" ht="15.75" customHeight="1">
      <c r="B1051" s="29"/>
      <c r="D1051" s="29"/>
    </row>
    <row r="1052" ht="15.75" customHeight="1">
      <c r="B1052" s="29"/>
      <c r="D1052" s="29"/>
    </row>
    <row r="1053" ht="15.75" customHeight="1">
      <c r="B1053" s="29"/>
      <c r="D1053" s="29"/>
    </row>
    <row r="1054" ht="15.75" customHeight="1">
      <c r="B1054" s="29"/>
      <c r="D1054" s="29"/>
    </row>
    <row r="1055" ht="15.75" customHeight="1">
      <c r="B1055" s="29"/>
      <c r="D1055" s="29"/>
    </row>
    <row r="1056" ht="15.75" customHeight="1">
      <c r="B1056" s="29"/>
      <c r="D1056" s="29"/>
    </row>
    <row r="1057" ht="15.75" customHeight="1">
      <c r="B1057" s="29"/>
      <c r="D1057" s="29"/>
    </row>
    <row r="1058" ht="15.75" customHeight="1">
      <c r="B1058" s="29"/>
      <c r="D1058" s="29"/>
    </row>
    <row r="1059" ht="15.75" customHeight="1">
      <c r="B1059" s="29"/>
      <c r="D1059" s="29"/>
    </row>
    <row r="1060" ht="15.75" customHeight="1">
      <c r="B1060" s="29"/>
      <c r="D1060" s="29"/>
    </row>
    <row r="1061" ht="15.75" customHeight="1">
      <c r="B1061" s="29"/>
      <c r="D1061" s="29"/>
    </row>
  </sheetData>
  <conditionalFormatting sqref="E1:E1061 B6:D49 I58:I59 F69:I77 F92:I183">
    <cfRule type="expression" dxfId="0" priority="1">
      <formula>AND(ISFORMULA(E1), REGEXMATCH(FORMULATEXT(E1), "GlobalVariables!"))</formula>
    </cfRule>
  </conditionalFormatting>
  <conditionalFormatting sqref="E1:E1061 B6:D49 I58:I59 F69:I77 F92:I183">
    <cfRule type="expression" dxfId="1" priority="2">
      <formula>ISFORMULA(E1)</formula>
    </cfRule>
  </conditionalFormatting>
  <printOptions/>
  <pageMargins bottom="1.0" footer="0.0" header="0.0" left="0.75" right="0.75" top="1.0"/>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outlineLevelRow="1"/>
  <cols>
    <col customWidth="1" min="1" max="1" width="40.71"/>
    <col customWidth="1" min="2" max="2" width="56.0"/>
    <col customWidth="1" min="3" max="3" width="12.0"/>
    <col customWidth="1" min="4" max="4" width="57.57"/>
    <col customWidth="1" min="5" max="5" width="42.0"/>
    <col customWidth="1" min="6" max="6" width="24.0"/>
    <col customWidth="1" min="7" max="8" width="27.86"/>
    <col customWidth="1" min="9" max="9" width="17.71"/>
    <col customWidth="1" min="10" max="10" width="14.0"/>
    <col customWidth="1" min="11" max="11" width="18.14"/>
    <col customWidth="1" min="12" max="12" width="19.86"/>
    <col customWidth="1" min="13" max="13" width="16.57"/>
    <col customWidth="1" min="14" max="28" width="8.71"/>
  </cols>
  <sheetData>
    <row r="1">
      <c r="A1" s="1" t="s">
        <v>206</v>
      </c>
      <c r="B1" s="29"/>
      <c r="D1" s="29"/>
    </row>
    <row r="2">
      <c r="A2" s="25" t="s">
        <v>12</v>
      </c>
      <c r="B2" s="26" t="s">
        <v>13</v>
      </c>
      <c r="C2" s="25" t="s">
        <v>14</v>
      </c>
      <c r="D2" s="14" t="s">
        <v>15</v>
      </c>
      <c r="E2" s="27" t="s">
        <v>16</v>
      </c>
      <c r="F2" s="27" t="s">
        <v>139</v>
      </c>
      <c r="G2" s="27" t="s">
        <v>140</v>
      </c>
      <c r="H2" s="27" t="s">
        <v>141</v>
      </c>
      <c r="I2" s="27" t="s">
        <v>142</v>
      </c>
    </row>
    <row r="3">
      <c r="A3" s="28" t="s">
        <v>17</v>
      </c>
      <c r="B3" s="29"/>
      <c r="D3" s="29"/>
      <c r="L3" s="65"/>
    </row>
    <row r="4" outlineLevel="1">
      <c r="A4" s="28" t="s">
        <v>18</v>
      </c>
      <c r="B4" s="29"/>
      <c r="D4" s="29"/>
      <c r="L4" s="65"/>
    </row>
    <row r="5" outlineLevel="1">
      <c r="A5" s="6" t="s">
        <v>19</v>
      </c>
      <c r="B5" s="30" t="s">
        <v>21</v>
      </c>
      <c r="C5" s="23" t="s">
        <v>20</v>
      </c>
      <c r="D5" s="29"/>
    </row>
    <row r="6" outlineLevel="1">
      <c r="A6" s="6" t="s">
        <v>22</v>
      </c>
      <c r="B6" s="66" t="str">
        <f>'Shared Specifications'!E5</f>
        <v>Complete Mousebrain</v>
      </c>
      <c r="C6" s="66" t="str">
        <f>'Shared Specifications'!C5</f>
        <v>-</v>
      </c>
      <c r="D6" s="66" t="str">
        <f>'Shared Specifications'!D5</f>
        <v/>
      </c>
      <c r="E6" s="20" t="str">
        <f>#REF!</f>
        <v>#REF!</v>
      </c>
      <c r="F6" s="67" t="str">
        <f t="shared" ref="F6:I6" si="1">$E6</f>
        <v>#REF!</v>
      </c>
      <c r="G6" s="67" t="str">
        <f t="shared" si="1"/>
        <v>#REF!</v>
      </c>
      <c r="H6" s="67" t="str">
        <f t="shared" si="1"/>
        <v>#REF!</v>
      </c>
      <c r="I6" s="67" t="str">
        <f t="shared" si="1"/>
        <v>#REF!</v>
      </c>
    </row>
    <row r="7" outlineLevel="1">
      <c r="A7" s="23" t="s">
        <v>24</v>
      </c>
      <c r="B7" s="66" t="str">
        <f>'Shared Specifications'!B6</f>
        <v>Budget and schedule contingency fraction</v>
      </c>
      <c r="C7" s="66" t="str">
        <f>'Shared Specifications'!C6</f>
        <v>fraction</v>
      </c>
      <c r="D7" s="66" t="str">
        <f>'Shared Specifications'!D6</f>
        <v>Standard range of risk buffers</v>
      </c>
      <c r="E7" s="68">
        <f>'Shared Specifications'!E6</f>
        <v>0.2</v>
      </c>
      <c r="F7" s="69">
        <f t="shared" ref="F7:I7" si="2">$E7</f>
        <v>0.2</v>
      </c>
      <c r="G7" s="69">
        <f t="shared" si="2"/>
        <v>0.2</v>
      </c>
      <c r="H7" s="69">
        <f t="shared" si="2"/>
        <v>0.2</v>
      </c>
      <c r="I7" s="69">
        <f t="shared" si="2"/>
        <v>0.2</v>
      </c>
    </row>
    <row r="8" outlineLevel="1">
      <c r="A8" s="23" t="s">
        <v>28</v>
      </c>
      <c r="B8" s="66" t="str">
        <f>'Shared Specifications'!B7</f>
        <v>Budget and schedule contingency fraction</v>
      </c>
      <c r="C8" s="66" t="str">
        <f>'Shared Specifications'!C7</f>
        <v>fraction</v>
      </c>
      <c r="D8" s="66" t="str">
        <f>'Shared Specifications'!D7</f>
        <v>Standard range of risk buffers</v>
      </c>
      <c r="E8" s="68">
        <f>'Shared Specifications'!E7</f>
        <v>0.05</v>
      </c>
      <c r="F8" s="69">
        <f t="shared" ref="F8:I8" si="3">$E8</f>
        <v>0.05</v>
      </c>
      <c r="G8" s="69">
        <f t="shared" si="3"/>
        <v>0.05</v>
      </c>
      <c r="H8" s="69">
        <f t="shared" si="3"/>
        <v>0.05</v>
      </c>
      <c r="I8" s="69">
        <f t="shared" si="3"/>
        <v>0.05</v>
      </c>
    </row>
    <row r="9" outlineLevel="1">
      <c r="A9" s="6" t="s">
        <v>29</v>
      </c>
      <c r="B9" s="66" t="str">
        <f>'Shared Specifications'!B8</f>
        <v>Physical brain volume to be mapped</v>
      </c>
      <c r="C9" s="66" t="str">
        <f>'Shared Specifications'!C8</f>
        <v>mm^3</v>
      </c>
      <c r="D9" s="70" t="str">
        <f>'Shared Specifications'!D8</f>
        <v>Differently sized brains</v>
      </c>
      <c r="E9" s="71">
        <f>'Shared Specifications'!E8</f>
        <v>500</v>
      </c>
      <c r="F9" s="72">
        <f t="shared" ref="F9:I9" si="4">$E9</f>
        <v>500</v>
      </c>
      <c r="G9" s="72">
        <f t="shared" si="4"/>
        <v>500</v>
      </c>
      <c r="H9" s="72">
        <f t="shared" si="4"/>
        <v>500</v>
      </c>
      <c r="I9" s="72">
        <f t="shared" si="4"/>
        <v>500</v>
      </c>
    </row>
    <row r="10" outlineLevel="1">
      <c r="A10" s="23" t="s">
        <v>33</v>
      </c>
      <c r="B10" s="66" t="str">
        <f>'Shared Specifications'!B9</f>
        <v>Number of neurons in the given volume</v>
      </c>
      <c r="C10" s="66" t="str">
        <f>'Shared Specifications'!C9</f>
        <v>count</v>
      </c>
      <c r="D10" s="70" t="str">
        <f>'Shared Specifications'!D9</f>
        <v>based on State of Brain Emulation report</v>
      </c>
      <c r="E10" s="73">
        <f>'Shared Specifications'!E9</f>
        <v>70000000</v>
      </c>
      <c r="F10" s="74">
        <f t="shared" ref="F10:I10" si="5">$E10</f>
        <v>70000000</v>
      </c>
      <c r="G10" s="74">
        <f t="shared" si="5"/>
        <v>70000000</v>
      </c>
      <c r="H10" s="74">
        <f t="shared" si="5"/>
        <v>70000000</v>
      </c>
      <c r="I10" s="74">
        <f t="shared" si="5"/>
        <v>70000000</v>
      </c>
    </row>
    <row r="11" ht="15.75" customHeight="1" outlineLevel="1">
      <c r="A11" s="28" t="s">
        <v>37</v>
      </c>
      <c r="B11" s="66" t="str">
        <f>'Shared Specifications'!B10</f>
        <v/>
      </c>
      <c r="C11" s="66" t="str">
        <f>'Shared Specifications'!C10</f>
        <v/>
      </c>
      <c r="D11" s="75" t="str">
        <f>'Shared Specifications'!D10</f>
        <v/>
      </c>
      <c r="E11" s="71" t="str">
        <f>'Shared Specifications'!E10</f>
        <v/>
      </c>
      <c r="F11" s="72" t="str">
        <f t="shared" ref="F11:I11" si="6">$E11</f>
        <v/>
      </c>
      <c r="G11" s="72" t="str">
        <f t="shared" si="6"/>
        <v/>
      </c>
      <c r="H11" s="72" t="str">
        <f t="shared" si="6"/>
        <v/>
      </c>
      <c r="I11" s="72" t="str">
        <f t="shared" si="6"/>
        <v/>
      </c>
    </row>
    <row r="12" outlineLevel="1">
      <c r="A12" s="23" t="s">
        <v>38</v>
      </c>
      <c r="B12" s="66" t="str">
        <f>'Shared Specifications'!B11</f>
        <v>Years from now when initial purchases are made</v>
      </c>
      <c r="C12" s="66" t="str">
        <f>'Shared Specifications'!C11</f>
        <v>years</v>
      </c>
      <c r="D12" s="76" t="str">
        <f>'Shared Specifications'!D11</f>
        <v>assumptions</v>
      </c>
      <c r="E12" s="20">
        <f>'Shared Specifications'!E11</f>
        <v>0</v>
      </c>
      <c r="F12" s="67">
        <f t="shared" ref="F12:I12" si="7">$E12</f>
        <v>0</v>
      </c>
      <c r="G12" s="67">
        <f t="shared" si="7"/>
        <v>0</v>
      </c>
      <c r="H12" s="67">
        <f t="shared" si="7"/>
        <v>0</v>
      </c>
      <c r="I12" s="67">
        <f t="shared" si="7"/>
        <v>0</v>
      </c>
    </row>
    <row r="13" outlineLevel="1">
      <c r="A13" s="23" t="s">
        <v>42</v>
      </c>
      <c r="B13" s="66" t="str">
        <f>'Shared Specifications'!B12</f>
        <v>Time span for overall project</v>
      </c>
      <c r="C13" s="66" t="str">
        <f>'Shared Specifications'!C12</f>
        <v>years</v>
      </c>
      <c r="D13" s="76" t="str">
        <f>'Shared Specifications'!D12</f>
        <v>assumptions</v>
      </c>
      <c r="E13" s="20">
        <f>'Shared Specifications'!E12</f>
        <v>5</v>
      </c>
      <c r="F13" s="67">
        <f t="shared" ref="F13:I13" si="8">$E13</f>
        <v>5</v>
      </c>
      <c r="G13" s="67">
        <f t="shared" si="8"/>
        <v>5</v>
      </c>
      <c r="H13" s="67">
        <f t="shared" si="8"/>
        <v>5</v>
      </c>
      <c r="I13" s="67">
        <f t="shared" si="8"/>
        <v>5</v>
      </c>
    </row>
    <row r="14" ht="15.75" customHeight="1" outlineLevel="1">
      <c r="A14" s="23" t="s">
        <v>44</v>
      </c>
      <c r="B14" s="66" t="str">
        <f>'Shared Specifications'!B13</f>
        <v>Upfront investment in microscopes</v>
      </c>
      <c r="C14" s="66" t="str">
        <f>'Shared Specifications'!C13</f>
        <v>$</v>
      </c>
      <c r="D14" s="76" t="str">
        <f>'Shared Specifications'!D13</f>
        <v>assumptions</v>
      </c>
      <c r="E14" s="77">
        <f>'Shared Specifications'!E13</f>
        <v>50000000</v>
      </c>
      <c r="F14" s="78">
        <f t="shared" ref="F14:I14" si="9">$E14</f>
        <v>50000000</v>
      </c>
      <c r="G14" s="78">
        <f t="shared" si="9"/>
        <v>50000000</v>
      </c>
      <c r="H14" s="78">
        <f t="shared" si="9"/>
        <v>50000000</v>
      </c>
      <c r="I14" s="78">
        <f t="shared" si="9"/>
        <v>50000000</v>
      </c>
    </row>
    <row r="15" ht="15.75" customHeight="1" outlineLevel="1">
      <c r="A15" s="23" t="s">
        <v>47</v>
      </c>
      <c r="B15" s="66" t="str">
        <f>'Shared Specifications'!B14</f>
        <v>Number of GPUs dedicated during processing</v>
      </c>
      <c r="C15" s="66" t="str">
        <f>'Shared Specifications'!C14</f>
        <v>count</v>
      </c>
      <c r="D15" s="76" t="str">
        <f>'Shared Specifications'!D14</f>
        <v>assumptions</v>
      </c>
      <c r="E15" s="71">
        <f>'Shared Specifications'!E14</f>
        <v>1000</v>
      </c>
      <c r="F15" s="72">
        <f t="shared" ref="F15:I15" si="10">$E15</f>
        <v>1000</v>
      </c>
      <c r="G15" s="72">
        <f t="shared" si="10"/>
        <v>1000</v>
      </c>
      <c r="H15" s="72">
        <f t="shared" si="10"/>
        <v>1000</v>
      </c>
      <c r="I15" s="72">
        <f t="shared" si="10"/>
        <v>1000</v>
      </c>
    </row>
    <row r="16" ht="15.75" customHeight="1" outlineLevel="1">
      <c r="A16" s="23" t="s">
        <v>49</v>
      </c>
      <c r="B16" s="66" t="str">
        <f>'Shared Specifications'!B15</f>
        <v>Cleanroom, isolation, HVAC, racks across whole project lifespan</v>
      </c>
      <c r="C16" s="66" t="str">
        <f>'Shared Specifications'!C15</f>
        <v>$</v>
      </c>
      <c r="D16" s="76" t="str">
        <f>'Shared Specifications'!D15</f>
        <v>assumptions</v>
      </c>
      <c r="E16" s="79">
        <f>'Shared Specifications'!E15</f>
        <v>2000000</v>
      </c>
      <c r="F16" s="80">
        <f t="shared" ref="F16:I16" si="11">$E16</f>
        <v>2000000</v>
      </c>
      <c r="G16" s="80">
        <f t="shared" si="11"/>
        <v>2000000</v>
      </c>
      <c r="H16" s="80">
        <f t="shared" si="11"/>
        <v>2000000</v>
      </c>
      <c r="I16" s="80">
        <f t="shared" si="11"/>
        <v>2000000</v>
      </c>
    </row>
    <row r="17" ht="15.75" customHeight="1" outlineLevel="1">
      <c r="A17" s="23" t="s">
        <v>51</v>
      </c>
      <c r="B17" s="66" t="str">
        <f>'Shared Specifications'!B16</f>
        <v>Average salary with all overheads across the project</v>
      </c>
      <c r="C17" s="66" t="str">
        <f>'Shared Specifications'!C16</f>
        <v>$/year</v>
      </c>
      <c r="D17" s="76" t="str">
        <f>'Shared Specifications'!D16</f>
        <v>assumptions</v>
      </c>
      <c r="E17" s="79">
        <f>'Shared Specifications'!E16</f>
        <v>150000</v>
      </c>
      <c r="F17" s="80">
        <f t="shared" ref="F17:I17" si="12">$E17</f>
        <v>150000</v>
      </c>
      <c r="G17" s="80">
        <f t="shared" si="12"/>
        <v>150000</v>
      </c>
      <c r="H17" s="80">
        <f t="shared" si="12"/>
        <v>150000</v>
      </c>
      <c r="I17" s="80">
        <f t="shared" si="12"/>
        <v>150000</v>
      </c>
    </row>
    <row r="18" ht="15.75" customHeight="1" outlineLevel="1">
      <c r="A18" s="23" t="s">
        <v>54</v>
      </c>
      <c r="B18" s="66" t="str">
        <f>'Shared Specifications'!B17</f>
        <v>Staff members for management of project oversight</v>
      </c>
      <c r="C18" s="66" t="str">
        <f>'Shared Specifications'!C17</f>
        <v>FTE count</v>
      </c>
      <c r="D18" s="76" t="str">
        <f>'Shared Specifications'!D17</f>
        <v>assumptions</v>
      </c>
      <c r="E18" s="81">
        <f>'Shared Specifications'!E17</f>
        <v>10</v>
      </c>
      <c r="F18" s="82">
        <f t="shared" ref="F18:I18" si="13">$E18</f>
        <v>10</v>
      </c>
      <c r="G18" s="82">
        <f t="shared" si="13"/>
        <v>10</v>
      </c>
      <c r="H18" s="82">
        <f t="shared" si="13"/>
        <v>10</v>
      </c>
      <c r="I18" s="82">
        <f t="shared" si="13"/>
        <v>10</v>
      </c>
    </row>
    <row r="19" ht="15.75" customHeight="1" outlineLevel="1">
      <c r="A19" s="23" t="s">
        <v>57</v>
      </c>
      <c r="B19" s="66" t="str">
        <f>'Shared Specifications'!B18</f>
        <v>Sample prep and microscope operations are included in calculations already. This is staff beyond that</v>
      </c>
      <c r="C19" s="66" t="str">
        <f>'Shared Specifications'!C18</f>
        <v>FTE count</v>
      </c>
      <c r="D19" s="76" t="str">
        <f>'Shared Specifications'!D18</f>
        <v>assumptions</v>
      </c>
      <c r="E19" s="81">
        <f>'Shared Specifications'!E18</f>
        <v>15</v>
      </c>
      <c r="F19" s="82">
        <f t="shared" ref="F19:I19" si="14">$E19</f>
        <v>15</v>
      </c>
      <c r="G19" s="82">
        <f t="shared" si="14"/>
        <v>15</v>
      </c>
      <c r="H19" s="82">
        <f t="shared" si="14"/>
        <v>15</v>
      </c>
      <c r="I19" s="82">
        <f t="shared" si="14"/>
        <v>15</v>
      </c>
    </row>
    <row r="20" ht="15.75" customHeight="1" outlineLevel="1">
      <c r="A20" s="23" t="s">
        <v>59</v>
      </c>
      <c r="B20" s="66" t="str">
        <f>'Shared Specifications'!B19</f>
        <v>Operations, Assitants, PR, etc</v>
      </c>
      <c r="C20" s="66" t="str">
        <f>'Shared Specifications'!C19</f>
        <v>FTE count</v>
      </c>
      <c r="D20" s="76" t="str">
        <f>'Shared Specifications'!D19</f>
        <v>assumptions</v>
      </c>
      <c r="E20" s="81">
        <f>'Shared Specifications'!E19</f>
        <v>10</v>
      </c>
      <c r="F20" s="82">
        <f t="shared" ref="F20:I20" si="15">$E20</f>
        <v>10</v>
      </c>
      <c r="G20" s="82">
        <f t="shared" si="15"/>
        <v>10</v>
      </c>
      <c r="H20" s="82">
        <f t="shared" si="15"/>
        <v>10</v>
      </c>
      <c r="I20" s="82">
        <f t="shared" si="15"/>
        <v>10</v>
      </c>
    </row>
    <row r="21" ht="15.75" customHeight="1" outlineLevel="1">
      <c r="A21" s="23" t="s">
        <v>61</v>
      </c>
      <c r="B21" s="66" t="str">
        <f>'Shared Specifications'!B20</f>
        <v>Shipping, permits, biosafety, IP, pubs</v>
      </c>
      <c r="C21" s="66" t="str">
        <f>'Shared Specifications'!C20</f>
        <v>$/project</v>
      </c>
      <c r="D21" s="76" t="str">
        <f>'Shared Specifications'!D20</f>
        <v>misc. costs</v>
      </c>
      <c r="E21" s="79">
        <f>'Shared Specifications'!E20</f>
        <v>250000</v>
      </c>
      <c r="F21" s="80">
        <f t="shared" ref="F21:I21" si="16">$E21</f>
        <v>250000</v>
      </c>
      <c r="G21" s="80">
        <f t="shared" si="16"/>
        <v>250000</v>
      </c>
      <c r="H21" s="80">
        <f t="shared" si="16"/>
        <v>250000</v>
      </c>
      <c r="I21" s="80">
        <f t="shared" si="16"/>
        <v>250000</v>
      </c>
    </row>
    <row r="22" ht="15.75" customHeight="1" outlineLevel="1">
      <c r="A22" s="23" t="s">
        <v>65</v>
      </c>
      <c r="B22" s="66" t="str">
        <f>'Shared Specifications'!B21</f>
        <v>Costs of facility over whole project duration</v>
      </c>
      <c r="C22" s="66" t="str">
        <f>'Shared Specifications'!C21</f>
        <v>$</v>
      </c>
      <c r="D22" s="76" t="str">
        <f>'Shared Specifications'!D21</f>
        <v>calculation</v>
      </c>
      <c r="E22" s="79">
        <f>'Shared Specifications'!E21</f>
        <v>10000000</v>
      </c>
      <c r="F22" s="80">
        <f t="shared" ref="F22:I22" si="17">$E22</f>
        <v>10000000</v>
      </c>
      <c r="G22" s="80">
        <f t="shared" si="17"/>
        <v>10000000</v>
      </c>
      <c r="H22" s="80">
        <f t="shared" si="17"/>
        <v>10000000</v>
      </c>
      <c r="I22" s="80">
        <f t="shared" si="17"/>
        <v>10000000</v>
      </c>
    </row>
    <row r="23" ht="15.75" customHeight="1" outlineLevel="1">
      <c r="A23" s="6" t="s">
        <v>68</v>
      </c>
      <c r="B23" s="66" t="str">
        <f>'Shared Specifications'!B22</f>
        <v>Scopes + facility + core SW + initial training</v>
      </c>
      <c r="C23" s="66" t="str">
        <f>'Shared Specifications'!C22</f>
        <v>$</v>
      </c>
      <c r="D23" s="76" t="str">
        <f>'Shared Specifications'!D22</f>
        <v>calculation</v>
      </c>
      <c r="E23" s="79">
        <f>'Shared Specifications'!E22</f>
        <v>55000000</v>
      </c>
      <c r="F23" s="80">
        <f t="shared" ref="F23:I23" si="18">$E23</f>
        <v>55000000</v>
      </c>
      <c r="G23" s="80">
        <f t="shared" si="18"/>
        <v>55000000</v>
      </c>
      <c r="H23" s="80">
        <f t="shared" si="18"/>
        <v>55000000</v>
      </c>
      <c r="I23" s="80">
        <f t="shared" si="18"/>
        <v>55000000</v>
      </c>
    </row>
    <row r="24" ht="15.75" customHeight="1" outlineLevel="1">
      <c r="A24" s="23" t="s">
        <v>70</v>
      </c>
      <c r="B24" s="66" t="str">
        <f>'Shared Specifications'!B23</f>
        <v>Pipelines, data mgmt, viewers, model training</v>
      </c>
      <c r="C24" s="66" t="str">
        <f>'Shared Specifications'!C23</f>
        <v>$</v>
      </c>
      <c r="D24" s="76" t="str">
        <f>'Shared Specifications'!D23</f>
        <v>assumptions
Example: Liccon reported "Training ran up to 30 days on 32 NVIDIA V100 GPUs with about 8.8 million steps (batch size 128), and they also trained a semantic classifier on 16 V100s for ~38 h." which is probably 10k. Let's assume we need 10x that for different models</v>
      </c>
      <c r="E24" s="79">
        <f>'Shared Specifications'!E23</f>
        <v>2000000</v>
      </c>
      <c r="F24" s="80">
        <f t="shared" ref="F24:I24" si="19">$E24</f>
        <v>2000000</v>
      </c>
      <c r="G24" s="80">
        <f t="shared" si="19"/>
        <v>2000000</v>
      </c>
      <c r="H24" s="80">
        <f t="shared" si="19"/>
        <v>2000000</v>
      </c>
      <c r="I24" s="80">
        <f t="shared" si="19"/>
        <v>2000000</v>
      </c>
    </row>
    <row r="25" outlineLevel="1">
      <c r="A25" s="28" t="s">
        <v>73</v>
      </c>
      <c r="B25" s="66" t="str">
        <f>'Shared Specifications'!B24</f>
        <v/>
      </c>
      <c r="C25" s="66" t="str">
        <f>'Shared Specifications'!C24</f>
        <v/>
      </c>
      <c r="D25" s="66" t="str">
        <f>'Shared Specifications'!D24</f>
        <v/>
      </c>
      <c r="E25" s="68" t="str">
        <f>'Shared Specifications'!E24</f>
        <v/>
      </c>
      <c r="F25" s="69" t="str">
        <f t="shared" ref="F25:I25" si="20">$E25</f>
        <v/>
      </c>
      <c r="G25" s="69" t="str">
        <f t="shared" si="20"/>
        <v/>
      </c>
      <c r="H25" s="69" t="str">
        <f t="shared" si="20"/>
        <v/>
      </c>
      <c r="I25" s="69" t="str">
        <f t="shared" si="20"/>
        <v/>
      </c>
    </row>
    <row r="26" ht="15.75" customHeight="1" outlineLevel="1">
      <c r="A26" s="23" t="s">
        <v>74</v>
      </c>
      <c r="B26" s="66" t="str">
        <f>'Shared Specifications'!B25</f>
        <v>Maximum FP 16 FLOP/s for GPU</v>
      </c>
      <c r="C26" s="66" t="str">
        <f>'Shared Specifications'!C25</f>
        <v>TFLOPs/s</v>
      </c>
      <c r="D26" s="70" t="str">
        <f>'Shared Specifications'!D25</f>
        <v>H100 FP 16 with 1,979 TFLOPs: https://www.nvidia.com/en-us/data-center/h100/
So far architectures in connectomics use FP32, but at scale FP16 seems more reasonable.</v>
      </c>
      <c r="E26" s="83">
        <f>'Shared Specifications'!E25</f>
        <v>1979</v>
      </c>
      <c r="F26" s="84">
        <f t="shared" ref="F26:I26" si="21">$E26</f>
        <v>1979</v>
      </c>
      <c r="G26" s="84">
        <f t="shared" si="21"/>
        <v>1979</v>
      </c>
      <c r="H26" s="84">
        <f t="shared" si="21"/>
        <v>1979</v>
      </c>
      <c r="I26" s="84">
        <f t="shared" si="21"/>
        <v>1979</v>
      </c>
    </row>
    <row r="27" ht="15.75" customHeight="1" outlineLevel="1">
      <c r="A27" s="23" t="s">
        <v>78</v>
      </c>
      <c r="B27" s="66" t="str">
        <f>'Shared Specifications'!B26</f>
        <v>Continuous GPU usage across time</v>
      </c>
      <c r="C27" s="66" t="str">
        <f>'Shared Specifications'!C26</f>
        <v>fraction</v>
      </c>
      <c r="D27" s="70" t="str">
        <f>'Shared Specifications'!D26</f>
        <v>estimate</v>
      </c>
      <c r="E27" s="68">
        <f>'Shared Specifications'!E26</f>
        <v>0.8</v>
      </c>
      <c r="F27" s="69">
        <f t="shared" ref="F27:I27" si="22">$E27</f>
        <v>0.8</v>
      </c>
      <c r="G27" s="69">
        <f t="shared" si="22"/>
        <v>0.8</v>
      </c>
      <c r="H27" s="69">
        <f t="shared" si="22"/>
        <v>0.8</v>
      </c>
      <c r="I27" s="69">
        <f t="shared" si="22"/>
        <v>0.8</v>
      </c>
    </row>
    <row r="28" outlineLevel="1">
      <c r="A28" s="23" t="s">
        <v>81</v>
      </c>
      <c r="B28" s="66" t="str">
        <f>'Shared Specifications'!B27</f>
        <v>Costs for access to 1h of GPU</v>
      </c>
      <c r="C28" s="66" t="str">
        <f>'Shared Specifications'!C27</f>
        <v>$ / hour</v>
      </c>
      <c r="D28" s="66" t="str">
        <f>'Shared Specifications'!D27</f>
        <v>at scale pricing for GPUs</v>
      </c>
      <c r="E28" s="85">
        <f>'Shared Specifications'!E27</f>
        <v>2</v>
      </c>
      <c r="F28" s="86">
        <f t="shared" ref="F28:I28" si="23">$E28</f>
        <v>2</v>
      </c>
      <c r="G28" s="86">
        <f t="shared" si="23"/>
        <v>2</v>
      </c>
      <c r="H28" s="86">
        <f t="shared" si="23"/>
        <v>2</v>
      </c>
      <c r="I28" s="86">
        <f t="shared" si="23"/>
        <v>2</v>
      </c>
    </row>
    <row r="29" outlineLevel="1">
      <c r="A29" s="23" t="s">
        <v>85</v>
      </c>
      <c r="B29" s="66" t="str">
        <f>'Shared Specifications'!B28</f>
        <v>Cost drop compute per year</v>
      </c>
      <c r="C29" s="66" t="str">
        <f>'Shared Specifications'!C28</f>
        <v>fraction</v>
      </c>
      <c r="D29" s="66" t="str">
        <f>'Shared Specifications'!D28</f>
        <v>assumption from past trends</v>
      </c>
      <c r="E29" s="68">
        <f>'Shared Specifications'!E28</f>
        <v>0.1</v>
      </c>
      <c r="F29" s="69">
        <f t="shared" ref="F29:I29" si="24">$E29</f>
        <v>0.1</v>
      </c>
      <c r="G29" s="69">
        <f t="shared" si="24"/>
        <v>0.1</v>
      </c>
      <c r="H29" s="69">
        <f t="shared" si="24"/>
        <v>0.1</v>
      </c>
      <c r="I29" s="69">
        <f t="shared" si="24"/>
        <v>0.1</v>
      </c>
    </row>
    <row r="30" outlineLevel="1">
      <c r="A30" s="23" t="s">
        <v>87</v>
      </c>
      <c r="B30" s="66" t="str">
        <f>'Shared Specifications'!B29</f>
        <v>cost drop storage per year</v>
      </c>
      <c r="C30" s="66" t="str">
        <f>'Shared Specifications'!C29</f>
        <v>fraction</v>
      </c>
      <c r="D30" s="66" t="str">
        <f>'Shared Specifications'!D29</f>
        <v>assumption from past trends</v>
      </c>
      <c r="E30" s="68">
        <f>'Shared Specifications'!E29</f>
        <v>0.05</v>
      </c>
      <c r="F30" s="69">
        <f t="shared" ref="F30:I30" si="25">$E30</f>
        <v>0.05</v>
      </c>
      <c r="G30" s="69">
        <f t="shared" si="25"/>
        <v>0.05</v>
      </c>
      <c r="H30" s="69">
        <f t="shared" si="25"/>
        <v>0.05</v>
      </c>
      <c r="I30" s="69">
        <f t="shared" si="25"/>
        <v>0.05</v>
      </c>
    </row>
    <row r="31" ht="15.75" customHeight="1" outlineLevel="1">
      <c r="A31" s="23" t="s">
        <v>88</v>
      </c>
      <c r="B31" s="66" t="str">
        <f>'Shared Specifications'!B30</f>
        <v>Storage system for working files</v>
      </c>
      <c r="C31" s="66" t="str">
        <f>'Shared Specifications'!C30</f>
        <v>$ / month</v>
      </c>
      <c r="D31" s="76" t="str">
        <f>'Shared Specifications'!D30</f>
        <v>Taking on-premise pricing
See https://aws.amazon.com/s3/pricing/ accessed 2025-09-04
Frequent Access Tier, First 50 TB / Month        $0.023 per GB
Frequent Access Tier, Next 450 TB / Month        $0.022 per GB
Frequent Access Tier, Over 500 TB / Month        $0.021 per GB
Infrequent Access Tier, All Storage / Month        $0.0125 per GB
Archive Instant Access Tier, All Storage / Month        $0.004 per GB
For on-prem assumption is that standard is 8x cheaper, archive 2x cheaper</v>
      </c>
      <c r="E31" s="79">
        <f>'Shared Specifications'!E30</f>
        <v>2625</v>
      </c>
      <c r="F31" s="80">
        <f t="shared" ref="F31:I31" si="26">$E31</f>
        <v>2625</v>
      </c>
      <c r="G31" s="80">
        <f t="shared" si="26"/>
        <v>2625</v>
      </c>
      <c r="H31" s="80">
        <f t="shared" si="26"/>
        <v>2625</v>
      </c>
      <c r="I31" s="80">
        <f t="shared" si="26"/>
        <v>2625</v>
      </c>
    </row>
    <row r="32" ht="15.75" customHeight="1" outlineLevel="1">
      <c r="A32" s="23" t="s">
        <v>92</v>
      </c>
      <c r="B32" s="66" t="str">
        <f>'Shared Specifications'!B31</f>
        <v>Storage system for backup files</v>
      </c>
      <c r="C32" s="66" t="str">
        <f>'Shared Specifications'!C31</f>
        <v>$ / month</v>
      </c>
      <c r="D32" s="76" t="str">
        <f>'Shared Specifications'!D31</f>
        <v>see above</v>
      </c>
      <c r="E32" s="79">
        <f>'Shared Specifications'!E31</f>
        <v>2000</v>
      </c>
      <c r="F32" s="80">
        <f t="shared" ref="F32:I32" si="27">$E32</f>
        <v>2000</v>
      </c>
      <c r="G32" s="80">
        <f t="shared" si="27"/>
        <v>2000</v>
      </c>
      <c r="H32" s="80">
        <f t="shared" si="27"/>
        <v>2000</v>
      </c>
      <c r="I32" s="80">
        <f t="shared" si="27"/>
        <v>2000</v>
      </c>
    </row>
    <row r="33" ht="15.75" customHeight="1" outlineLevel="1">
      <c r="A33" s="23" t="s">
        <v>95</v>
      </c>
      <c r="B33" s="66" t="str">
        <f>'Shared Specifications'!B32</f>
        <v/>
      </c>
      <c r="C33" s="66" t="str">
        <f>'Shared Specifications'!C32</f>
        <v/>
      </c>
      <c r="D33" s="87" t="str">
        <f>'Shared Specifications'!D32</f>
        <v>Assuming 8-bits per voxel at 1 byte</v>
      </c>
      <c r="E33" s="73">
        <f>'Shared Specifications'!E32</f>
        <v>1</v>
      </c>
      <c r="F33" s="74">
        <f t="shared" ref="F33:I33" si="28">$E33</f>
        <v>1</v>
      </c>
      <c r="G33" s="74">
        <f t="shared" si="28"/>
        <v>1</v>
      </c>
      <c r="H33" s="74">
        <f t="shared" si="28"/>
        <v>1</v>
      </c>
      <c r="I33" s="74">
        <f t="shared" si="28"/>
        <v>1</v>
      </c>
    </row>
    <row r="34" ht="15.75" customHeight="1" outlineLevel="1">
      <c r="A34" s="6" t="s">
        <v>97</v>
      </c>
      <c r="B34" s="66" t="str">
        <f>'Shared Specifications'!B33</f>
        <v>Raw to lossless</v>
      </c>
      <c r="C34" s="66" t="str">
        <f>'Shared Specifications'!C33</f>
        <v>×</v>
      </c>
      <c r="D34" s="70" t="str">
        <f>'Shared Specifications'!D33</f>
        <v>as per Wellcome Trust Report; assumed to happen in parallel to image acquisition</v>
      </c>
      <c r="E34" s="88">
        <f>'Shared Specifications'!E33</f>
        <v>1.5</v>
      </c>
      <c r="F34" s="89">
        <f t="shared" ref="F34:I34" si="29">$E34</f>
        <v>1.5</v>
      </c>
      <c r="G34" s="89">
        <f t="shared" si="29"/>
        <v>1.5</v>
      </c>
      <c r="H34" s="89">
        <f t="shared" si="29"/>
        <v>1.5</v>
      </c>
      <c r="I34" s="89">
        <f t="shared" si="29"/>
        <v>1.5</v>
      </c>
    </row>
    <row r="35" ht="15.75" customHeight="1" outlineLevel="1">
      <c r="A35" s="6" t="s">
        <v>101</v>
      </c>
      <c r="B35" s="66" t="str">
        <f>'Shared Specifications'!B34</f>
        <v>Raw to lossy</v>
      </c>
      <c r="C35" s="66" t="str">
        <f>'Shared Specifications'!C34</f>
        <v>×</v>
      </c>
      <c r="D35" s="70" t="str">
        <f>'Shared Specifications'!D34</f>
        <v>estimate; 120x compression demonstrated for EM; assumed to happen in parallel to image acquisition</v>
      </c>
      <c r="E35" s="88">
        <f>'Shared Specifications'!E34</f>
        <v>120</v>
      </c>
      <c r="F35" s="89">
        <f t="shared" ref="F35:I35" si="30">$E35</f>
        <v>120</v>
      </c>
      <c r="G35" s="89">
        <f t="shared" si="30"/>
        <v>120</v>
      </c>
      <c r="H35" s="89">
        <f t="shared" si="30"/>
        <v>120</v>
      </c>
      <c r="I35" s="89">
        <f t="shared" si="30"/>
        <v>120</v>
      </c>
    </row>
    <row r="36" ht="15.75" customHeight="1" outlineLevel="1">
      <c r="A36" s="23" t="s">
        <v>104</v>
      </c>
      <c r="B36" s="66" t="str">
        <f>'Shared Specifications'!B35</f>
        <v>labels + meshes + skeletons + graphs + annotations overhead</v>
      </c>
      <c r="C36" s="66" t="str">
        <f>'Shared Specifications'!C35</f>
        <v>%</v>
      </c>
      <c r="D36" s="70" t="str">
        <f>'Shared Specifications'!D35</f>
        <v>estimate for image overlays for labels</v>
      </c>
      <c r="E36" s="68">
        <f>'Shared Specifications'!E35</f>
        <v>0.05</v>
      </c>
      <c r="F36" s="69">
        <f t="shared" ref="F36:I36" si="31">$E36</f>
        <v>0.05</v>
      </c>
      <c r="G36" s="69">
        <f t="shared" si="31"/>
        <v>0.05</v>
      </c>
      <c r="H36" s="69">
        <f t="shared" si="31"/>
        <v>0.05</v>
      </c>
      <c r="I36" s="69">
        <f t="shared" si="31"/>
        <v>0.05</v>
      </c>
    </row>
    <row r="37" ht="15.75" customHeight="1" outlineLevel="1">
      <c r="A37" s="23" t="s">
        <v>108</v>
      </c>
      <c r="B37" s="66" t="str">
        <f>'Shared Specifications'!B36</f>
        <v>Hot copies lossless online of first connectome</v>
      </c>
      <c r="C37" s="66" t="str">
        <f>'Shared Specifications'!C36</f>
        <v>count</v>
      </c>
      <c r="D37" s="76" t="str">
        <f>'Shared Specifications'!D36</f>
        <v>assumptions</v>
      </c>
      <c r="E37" s="88">
        <f>'Shared Specifications'!E36</f>
        <v>3</v>
      </c>
      <c r="F37" s="89">
        <f t="shared" ref="F37:I37" si="32">$E37</f>
        <v>3</v>
      </c>
      <c r="G37" s="89">
        <f t="shared" si="32"/>
        <v>3</v>
      </c>
      <c r="H37" s="89">
        <f t="shared" si="32"/>
        <v>3</v>
      </c>
      <c r="I37" s="89">
        <f t="shared" si="32"/>
        <v>3</v>
      </c>
    </row>
    <row r="38" ht="15.75" customHeight="1" outlineLevel="1">
      <c r="A38" s="23" t="s">
        <v>110</v>
      </c>
      <c r="B38" s="66" t="str">
        <f>'Shared Specifications'!B37</f>
        <v>Cold copies retained first connectome</v>
      </c>
      <c r="C38" s="66" t="str">
        <f>'Shared Specifications'!C37</f>
        <v>count</v>
      </c>
      <c r="D38" s="76" t="str">
        <f>'Shared Specifications'!D37</f>
        <v>assumptions</v>
      </c>
      <c r="E38" s="88">
        <f>'Shared Specifications'!E37</f>
        <v>2</v>
      </c>
      <c r="F38" s="89">
        <f t="shared" ref="F38:I38" si="33">$E38</f>
        <v>2</v>
      </c>
      <c r="G38" s="89">
        <f t="shared" si="33"/>
        <v>2</v>
      </c>
      <c r="H38" s="89">
        <f t="shared" si="33"/>
        <v>2</v>
      </c>
      <c r="I38" s="89">
        <f t="shared" si="33"/>
        <v>2</v>
      </c>
    </row>
    <row r="39" ht="15.75" customHeight="1" outlineLevel="1">
      <c r="A39" s="23" t="s">
        <v>112</v>
      </c>
      <c r="B39" s="66" t="str">
        <f>'Shared Specifications'!B38</f>
        <v>Hot copies lossless online of marginal connectomes</v>
      </c>
      <c r="C39" s="66" t="str">
        <f>'Shared Specifications'!C38</f>
        <v>count</v>
      </c>
      <c r="D39" s="76" t="str">
        <f>'Shared Specifications'!D38</f>
        <v>assumptions</v>
      </c>
      <c r="E39" s="88">
        <f>'Shared Specifications'!E38</f>
        <v>1</v>
      </c>
      <c r="F39" s="89">
        <f t="shared" ref="F39:I39" si="34">$E39</f>
        <v>1</v>
      </c>
      <c r="G39" s="89">
        <f t="shared" si="34"/>
        <v>1</v>
      </c>
      <c r="H39" s="89">
        <f t="shared" si="34"/>
        <v>1</v>
      </c>
      <c r="I39" s="89">
        <f t="shared" si="34"/>
        <v>1</v>
      </c>
    </row>
    <row r="40" ht="15.75" customHeight="1" outlineLevel="1">
      <c r="A40" s="23" t="s">
        <v>114</v>
      </c>
      <c r="B40" s="66" t="str">
        <f>'Shared Specifications'!B39</f>
        <v>Cold copies retained of marginal connectomes</v>
      </c>
      <c r="C40" s="66" t="str">
        <f>'Shared Specifications'!C39</f>
        <v>count</v>
      </c>
      <c r="D40" s="76" t="str">
        <f>'Shared Specifications'!D39</f>
        <v>assumptions</v>
      </c>
      <c r="E40" s="88">
        <f>'Shared Specifications'!E39</f>
        <v>0</v>
      </c>
      <c r="F40" s="89">
        <f t="shared" ref="F40:I40" si="35">$E40</f>
        <v>0</v>
      </c>
      <c r="G40" s="89">
        <f t="shared" si="35"/>
        <v>0</v>
      </c>
      <c r="H40" s="89">
        <f t="shared" si="35"/>
        <v>0</v>
      </c>
      <c r="I40" s="89">
        <f t="shared" si="35"/>
        <v>0</v>
      </c>
    </row>
    <row r="41" ht="15.75" customHeight="1" outlineLevel="1">
      <c r="A41" s="6" t="s">
        <v>116</v>
      </c>
      <c r="B41" s="66" t="str">
        <f>'Shared Specifications'!B40</f>
        <v>How long active copies are kept</v>
      </c>
      <c r="C41" s="66" t="str">
        <f>'Shared Specifications'!C40</f>
        <v>yr</v>
      </c>
      <c r="D41" s="76" t="str">
        <f>'Shared Specifications'!D40</f>
        <v>assumptions</v>
      </c>
      <c r="E41" s="88">
        <f>'Shared Specifications'!E40</f>
        <v>5</v>
      </c>
      <c r="F41" s="89">
        <f t="shared" ref="F41:I41" si="36">$E41</f>
        <v>5</v>
      </c>
      <c r="G41" s="89">
        <f t="shared" si="36"/>
        <v>5</v>
      </c>
      <c r="H41" s="89">
        <f t="shared" si="36"/>
        <v>5</v>
      </c>
      <c r="I41" s="89">
        <f t="shared" si="36"/>
        <v>5</v>
      </c>
    </row>
    <row r="42" ht="15.75" customHeight="1" outlineLevel="1">
      <c r="A42" s="6" t="s">
        <v>119</v>
      </c>
      <c r="B42" s="66" t="str">
        <f>'Shared Specifications'!B41</f>
        <v>How long archive copies are kept</v>
      </c>
      <c r="C42" s="66" t="str">
        <f>'Shared Specifications'!C41</f>
        <v>yr</v>
      </c>
      <c r="D42" s="76" t="str">
        <f>'Shared Specifications'!D41</f>
        <v>assumptions</v>
      </c>
      <c r="E42" s="88">
        <f>'Shared Specifications'!E41</f>
        <v>10</v>
      </c>
      <c r="F42" s="89">
        <f t="shared" ref="F42:I42" si="37">$E42</f>
        <v>10</v>
      </c>
      <c r="G42" s="89">
        <f t="shared" si="37"/>
        <v>10</v>
      </c>
      <c r="H42" s="89">
        <f t="shared" si="37"/>
        <v>10</v>
      </c>
      <c r="I42" s="89">
        <f t="shared" si="37"/>
        <v>10</v>
      </c>
    </row>
    <row r="43" ht="15.75" customHeight="1" outlineLevel="1">
      <c r="A43" s="23" t="s">
        <v>121</v>
      </c>
      <c r="B43" s="66" t="str">
        <f>'Shared Specifications'!B42</f>
        <v>Average FLOPs/s for GPU</v>
      </c>
      <c r="C43" s="66" t="str">
        <f>'Shared Specifications'!C42</f>
        <v>TFLOPs/s</v>
      </c>
      <c r="D43" s="70" t="str">
        <f>'Shared Specifications'!D42</f>
        <v>calculation</v>
      </c>
      <c r="E43" s="90">
        <f>'Shared Specifications'!E42</f>
        <v>1583.2</v>
      </c>
      <c r="F43" s="91">
        <f t="shared" ref="F43:I43" si="38">$E43</f>
        <v>1583.2</v>
      </c>
      <c r="G43" s="91">
        <f t="shared" si="38"/>
        <v>1583.2</v>
      </c>
      <c r="H43" s="91">
        <f t="shared" si="38"/>
        <v>1583.2</v>
      </c>
      <c r="I43" s="91">
        <f t="shared" si="38"/>
        <v>1583.2</v>
      </c>
    </row>
    <row r="44" ht="15.75" customHeight="1" outlineLevel="1">
      <c r="A44" s="23" t="s">
        <v>123</v>
      </c>
      <c r="B44" s="66" t="str">
        <f>'Shared Specifications'!B43</f>
        <v>Effective price at a given date in the future</v>
      </c>
      <c r="C44" s="66" t="str">
        <f>'Shared Specifications'!C43</f>
        <v>$ / hour</v>
      </c>
      <c r="D44" s="70" t="str">
        <f>'Shared Specifications'!D43</f>
        <v>calculation</v>
      </c>
      <c r="E44" s="85">
        <f>'Shared Specifications'!E43</f>
        <v>2</v>
      </c>
      <c r="F44" s="86">
        <f t="shared" ref="F44:I44" si="39">$E44</f>
        <v>2</v>
      </c>
      <c r="G44" s="86">
        <f t="shared" si="39"/>
        <v>2</v>
      </c>
      <c r="H44" s="86">
        <f t="shared" si="39"/>
        <v>2</v>
      </c>
      <c r="I44" s="86">
        <f t="shared" si="39"/>
        <v>2</v>
      </c>
    </row>
    <row r="45" ht="15.75" customHeight="1" outlineLevel="1">
      <c r="A45" s="23" t="s">
        <v>125</v>
      </c>
      <c r="B45" s="66" t="str">
        <f>'Shared Specifications'!B44</f>
        <v>Online storage price</v>
      </c>
      <c r="C45" s="66" t="str">
        <f>'Shared Specifications'!C44</f>
        <v>$/PB-year</v>
      </c>
      <c r="D45" s="70" t="str">
        <f>'Shared Specifications'!D44</f>
        <v>calculation</v>
      </c>
      <c r="E45" s="79">
        <f>'Shared Specifications'!E44</f>
        <v>31500</v>
      </c>
      <c r="F45" s="80">
        <f t="shared" ref="F45:I45" si="40">$E45</f>
        <v>31500</v>
      </c>
      <c r="G45" s="80">
        <f t="shared" si="40"/>
        <v>31500</v>
      </c>
      <c r="H45" s="80">
        <f t="shared" si="40"/>
        <v>31500</v>
      </c>
      <c r="I45" s="80">
        <f t="shared" si="40"/>
        <v>31500</v>
      </c>
    </row>
    <row r="46" ht="15.75" customHeight="1" outlineLevel="1">
      <c r="A46" s="23" t="s">
        <v>128</v>
      </c>
      <c r="B46" s="66" t="str">
        <f>'Shared Specifications'!B45</f>
        <v>Archive storage price</v>
      </c>
      <c r="C46" s="66" t="str">
        <f>'Shared Specifications'!C45</f>
        <v>$/PB-year</v>
      </c>
      <c r="D46" s="70" t="str">
        <f>'Shared Specifications'!D45</f>
        <v>calculation</v>
      </c>
      <c r="E46" s="79">
        <f>'Shared Specifications'!E45</f>
        <v>24000</v>
      </c>
      <c r="F46" s="80">
        <f t="shared" ref="F46:I46" si="41">$E46</f>
        <v>24000</v>
      </c>
      <c r="G46" s="80">
        <f t="shared" si="41"/>
        <v>24000</v>
      </c>
      <c r="H46" s="80">
        <f t="shared" si="41"/>
        <v>24000</v>
      </c>
      <c r="I46" s="80">
        <f t="shared" si="41"/>
        <v>24000</v>
      </c>
    </row>
    <row r="47" outlineLevel="1">
      <c r="A47" s="28" t="s">
        <v>130</v>
      </c>
      <c r="B47" s="66" t="str">
        <f>'Shared Specifications'!B46</f>
        <v/>
      </c>
      <c r="C47" s="66" t="str">
        <f>'Shared Specifications'!C46</f>
        <v/>
      </c>
      <c r="D47" s="66" t="str">
        <f>'Shared Specifications'!D46</f>
        <v/>
      </c>
      <c r="E47" s="20" t="str">
        <f>'Shared Specifications'!E46</f>
        <v/>
      </c>
      <c r="F47" s="67" t="str">
        <f t="shared" ref="F47:I47" si="42">$E47</f>
        <v/>
      </c>
      <c r="G47" s="67" t="str">
        <f t="shared" si="42"/>
        <v/>
      </c>
      <c r="H47" s="67" t="str">
        <f t="shared" si="42"/>
        <v/>
      </c>
      <c r="I47" s="67" t="str">
        <f t="shared" si="42"/>
        <v/>
      </c>
      <c r="L47" s="65"/>
    </row>
    <row r="48" ht="15.75" customHeight="1" outlineLevel="1">
      <c r="A48" s="23" t="s">
        <v>131</v>
      </c>
      <c r="B48" s="66" t="str">
        <f>'Shared Specifications'!B47</f>
        <v>FP32-equivalent Floating point operations.</v>
      </c>
      <c r="C48" s="66" t="str">
        <f>'Shared Specifications'!C47</f>
        <v>TFLOP / tile</v>
      </c>
      <c r="D48" s="70" t="str">
        <f>'Shared Specifications'!D47</f>
        <v>
For MICrONS The alignment took 230 h on a cluster of preemptible NVIDIA T4 GPUs on Google Cloud. The cluster size fluctuated due to hardware availability constraints, with the number of active GPUs averaging at 1200. T4 has 8.1 TFLOPS FP32 peak, so 80% is ~6.5TFLOPS. With 276,000 GPU hours we are 6.5*60*60*276000 = 6.458.400.000 TFLOPs for 14,442,143 tiles with 20MP and 50MP. The total costs here are in the 100-250k ballpark. 
6.458.400.000 TFLOPs for 14,442,143 tiles is roughly 450 TFLOPs per tile</v>
      </c>
      <c r="E48" s="92">
        <f>'Shared Specifications'!E47</f>
        <v>450</v>
      </c>
      <c r="F48" s="93">
        <f t="shared" ref="F48:I48" si="43">$E48</f>
        <v>450</v>
      </c>
      <c r="G48" s="93">
        <f t="shared" si="43"/>
        <v>450</v>
      </c>
      <c r="H48" s="93">
        <f t="shared" si="43"/>
        <v>450</v>
      </c>
      <c r="I48" s="93">
        <f t="shared" si="43"/>
        <v>450</v>
      </c>
    </row>
    <row r="49" ht="15.75" customHeight="1" outlineLevel="1">
      <c r="A49" s="23" t="s">
        <v>135</v>
      </c>
      <c r="B49" s="66" t="str">
        <f>'Shared Specifications'!B48</f>
        <v>FP32-equivalent Floating point operations/voxel.</v>
      </c>
      <c r="C49" s="66" t="str">
        <f>'Shared Specifications'!C48</f>
        <v>TFLOP / voxel</v>
      </c>
      <c r="D49" s="70" t="str">
        <f>'Shared Specifications'!D48</f>
        <v>We are assuming 2M FLOP / voxel with LSDs. based on 1/100 of FFN that are 2.42×108 FLOPs/voxel https://www.nature.com/articles/s41592-022-01711-z and https://static-content.springer.com/esm/art%3A10.1038%2Fs41592-018-0049-4/MediaObjects/41592_2018_49_MOESM1_ESM.pdf#page=11
</v>
      </c>
      <c r="E49" s="94">
        <f>'Shared Specifications'!E48</f>
        <v>0.0000024</v>
      </c>
      <c r="F49" s="95">
        <f t="shared" ref="F49:I49" si="44">$E49</f>
        <v>0.0000024</v>
      </c>
      <c r="G49" s="95">
        <f t="shared" si="44"/>
        <v>0.0000024</v>
      </c>
      <c r="H49" s="95">
        <f t="shared" si="44"/>
        <v>0.0000024</v>
      </c>
      <c r="I49" s="95">
        <f t="shared" si="44"/>
        <v>0.0000024</v>
      </c>
    </row>
    <row r="50" ht="15.75" customHeight="1">
      <c r="A50" s="96"/>
      <c r="B50" s="30"/>
      <c r="C50" s="23"/>
      <c r="D50" s="32"/>
      <c r="E50" s="47"/>
      <c r="F50" s="67"/>
      <c r="G50" s="67"/>
      <c r="H50" s="67"/>
      <c r="I50" s="67"/>
    </row>
    <row r="51" ht="15.75" customHeight="1">
      <c r="A51" s="28" t="s">
        <v>207</v>
      </c>
      <c r="B51" s="30"/>
      <c r="C51" s="23"/>
      <c r="D51" s="32"/>
      <c r="E51" s="47"/>
      <c r="F51" s="67"/>
      <c r="G51" s="67"/>
      <c r="H51" s="67"/>
      <c r="I51" s="67"/>
    </row>
    <row r="52" ht="15.75" customHeight="1">
      <c r="A52" s="23" t="s">
        <v>209</v>
      </c>
      <c r="B52" s="30" t="s">
        <v>209</v>
      </c>
      <c r="C52" s="23" t="s">
        <v>210</v>
      </c>
      <c r="D52" s="32" t="s">
        <v>211</v>
      </c>
      <c r="E52" s="97">
        <f>Comparison!F3</f>
        <v>0.005</v>
      </c>
      <c r="F52" s="98">
        <f t="shared" ref="F52:I52" si="45">$E52</f>
        <v>0.005</v>
      </c>
      <c r="G52" s="98">
        <f t="shared" si="45"/>
        <v>0.005</v>
      </c>
      <c r="H52" s="98">
        <f t="shared" si="45"/>
        <v>0.005</v>
      </c>
      <c r="I52" s="98">
        <f t="shared" si="45"/>
        <v>0.005</v>
      </c>
    </row>
    <row r="53" ht="15.75" customHeight="1">
      <c r="A53" s="23" t="s">
        <v>212</v>
      </c>
      <c r="B53" s="30" t="s">
        <v>213</v>
      </c>
      <c r="C53" s="23" t="s">
        <v>214</v>
      </c>
      <c r="D53" s="32" t="s">
        <v>215</v>
      </c>
      <c r="E53" s="42">
        <f>Comparison!F4</f>
        <v>50</v>
      </c>
      <c r="F53" s="86">
        <f t="shared" ref="F53:I53" si="46">$E53</f>
        <v>50</v>
      </c>
      <c r="G53" s="86">
        <f t="shared" si="46"/>
        <v>50</v>
      </c>
      <c r="H53" s="86">
        <f t="shared" si="46"/>
        <v>50</v>
      </c>
      <c r="I53" s="86">
        <f t="shared" si="46"/>
        <v>50</v>
      </c>
    </row>
    <row r="54" ht="15.75" customHeight="1">
      <c r="A54" s="23" t="s">
        <v>216</v>
      </c>
      <c r="B54" s="30" t="s">
        <v>217</v>
      </c>
      <c r="C54" s="23" t="s">
        <v>218</v>
      </c>
      <c r="D54" s="32" t="s">
        <v>219</v>
      </c>
      <c r="E54" s="47">
        <f>Comparison!F5</f>
        <v>6</v>
      </c>
      <c r="F54" s="93">
        <f t="shared" ref="F54:I54" si="47">$E54</f>
        <v>6</v>
      </c>
      <c r="G54" s="93">
        <f t="shared" si="47"/>
        <v>6</v>
      </c>
      <c r="H54" s="93">
        <f t="shared" si="47"/>
        <v>6</v>
      </c>
      <c r="I54" s="93">
        <f t="shared" si="47"/>
        <v>6</v>
      </c>
    </row>
    <row r="55" ht="15.75" customHeight="1">
      <c r="A55" s="23" t="s">
        <v>220</v>
      </c>
      <c r="B55" s="30" t="s">
        <v>221</v>
      </c>
      <c r="C55" s="23" t="s">
        <v>35</v>
      </c>
      <c r="D55" s="32" t="s">
        <v>222</v>
      </c>
      <c r="E55" s="34">
        <f>Comparison!F6</f>
        <v>1000</v>
      </c>
      <c r="F55" s="74">
        <f t="shared" ref="F55:I55" si="48">$E55</f>
        <v>1000</v>
      </c>
      <c r="G55" s="74">
        <f t="shared" si="48"/>
        <v>1000</v>
      </c>
      <c r="H55" s="74">
        <f t="shared" si="48"/>
        <v>1000</v>
      </c>
      <c r="I55" s="74">
        <f t="shared" si="48"/>
        <v>1000</v>
      </c>
    </row>
    <row r="56">
      <c r="A56" s="96"/>
      <c r="B56" s="29"/>
      <c r="D56" s="32"/>
      <c r="E56" s="33"/>
      <c r="F56" s="33"/>
      <c r="G56" s="33"/>
      <c r="H56" s="33"/>
    </row>
    <row r="57">
      <c r="A57" s="28" t="s">
        <v>223</v>
      </c>
      <c r="B57" s="29"/>
      <c r="D57" s="32"/>
      <c r="E57" s="33"/>
      <c r="F57" s="99" t="str">
        <f>'Specification Imaging Modalitie'!E2</f>
        <v>https://www.nature.com/articles/s41467-024-50846-4</v>
      </c>
      <c r="G57" s="33"/>
      <c r="H57" s="33"/>
    </row>
    <row r="58" ht="15.75" customHeight="1" outlineLevel="1">
      <c r="A58" s="6" t="s">
        <v>146</v>
      </c>
      <c r="B58" s="29" t="s">
        <v>147</v>
      </c>
      <c r="C58" s="6" t="s">
        <v>148</v>
      </c>
      <c r="D58" s="40"/>
      <c r="E58" s="38"/>
      <c r="F58" s="42">
        <f>'Specification Imaging Modalitie'!E3</f>
        <v>500000</v>
      </c>
      <c r="G58" s="42">
        <f>'Specification Imaging Modalitie'!F3</f>
        <v>500000</v>
      </c>
      <c r="H58" s="42">
        <f>'Specification Imaging Modalitie'!G3</f>
        <v>500000</v>
      </c>
      <c r="I58" s="42">
        <f>'Specification Imaging Modalitie'!H3</f>
        <v>5000000</v>
      </c>
    </row>
    <row r="59" ht="15.75" customHeight="1" outlineLevel="1">
      <c r="A59" s="23" t="s">
        <v>149</v>
      </c>
      <c r="B59" s="29" t="s">
        <v>150</v>
      </c>
      <c r="C59" s="6" t="s">
        <v>118</v>
      </c>
      <c r="D59" s="62"/>
      <c r="E59" s="44"/>
      <c r="F59" s="33">
        <f>'Specification Imaging Modalitie'!E4</f>
        <v>10</v>
      </c>
      <c r="G59" s="33">
        <f>'Specification Imaging Modalitie'!F4</f>
        <v>5</v>
      </c>
      <c r="H59" s="33">
        <f>'Specification Imaging Modalitie'!G4</f>
        <v>5</v>
      </c>
      <c r="I59" s="33">
        <f>'Specification Imaging Modalitie'!H4</f>
        <v>10</v>
      </c>
    </row>
    <row r="60" ht="15.75" customHeight="1" outlineLevel="1">
      <c r="A60" s="23" t="s">
        <v>151</v>
      </c>
      <c r="B60" s="30" t="s">
        <v>152</v>
      </c>
      <c r="C60" s="23" t="s">
        <v>153</v>
      </c>
      <c r="D60" s="32" t="s">
        <v>154</v>
      </c>
      <c r="E60" s="33"/>
      <c r="F60" s="33">
        <f>'Specification Imaging Modalitie'!E5</f>
        <v>225</v>
      </c>
      <c r="G60" s="33">
        <f>'Specification Imaging Modalitie'!F5</f>
        <v>1100</v>
      </c>
      <c r="H60" s="33">
        <f>'Specification Imaging Modalitie'!G5</f>
        <v>1100</v>
      </c>
      <c r="I60" s="33">
        <f>'Specification Imaging Modalitie'!H5</f>
        <v>250</v>
      </c>
    </row>
    <row r="61" outlineLevel="1">
      <c r="A61" s="23" t="s">
        <v>155</v>
      </c>
      <c r="B61" s="30" t="s">
        <v>156</v>
      </c>
      <c r="D61" s="32" t="s">
        <v>157</v>
      </c>
      <c r="E61" s="33"/>
      <c r="F61" s="33">
        <f>'Specification Imaging Modalitie'!E6</f>
        <v>1</v>
      </c>
      <c r="G61" s="33">
        <f>'Specification Imaging Modalitie'!F6</f>
        <v>3</v>
      </c>
      <c r="H61" s="33">
        <f>'Specification Imaging Modalitie'!G6</f>
        <v>8</v>
      </c>
      <c r="I61" s="33">
        <f>'Specification Imaging Modalitie'!H6</f>
        <v>1</v>
      </c>
    </row>
    <row r="62" outlineLevel="1">
      <c r="A62" s="23" t="s">
        <v>158</v>
      </c>
      <c r="B62" s="29" t="s">
        <v>159</v>
      </c>
      <c r="C62" s="6" t="s">
        <v>35</v>
      </c>
      <c r="D62" s="32" t="s">
        <v>157</v>
      </c>
      <c r="E62" s="33"/>
      <c r="F62" s="33">
        <f>'Specification Imaging Modalitie'!E7</f>
        <v>1</v>
      </c>
      <c r="G62" s="33">
        <f>'Specification Imaging Modalitie'!F7</f>
        <v>1</v>
      </c>
      <c r="H62" s="33">
        <f>'Specification Imaging Modalitie'!G7</f>
        <v>800</v>
      </c>
      <c r="I62" s="33">
        <f>'Specification Imaging Modalitie'!H7</f>
        <v>1</v>
      </c>
    </row>
    <row r="63" ht="15.75" customHeight="1" outlineLevel="1">
      <c r="A63" s="6" t="s">
        <v>160</v>
      </c>
      <c r="B63" s="30" t="s">
        <v>161</v>
      </c>
      <c r="C63" s="6" t="s">
        <v>162</v>
      </c>
      <c r="D63" s="63"/>
      <c r="E63" s="38"/>
      <c r="F63" s="42">
        <f>'Specification Imaging Modalitie'!E8</f>
        <v>50000</v>
      </c>
      <c r="G63" s="42">
        <f>'Specification Imaging Modalitie'!F8</f>
        <v>15000</v>
      </c>
      <c r="H63" s="42">
        <f>'Specification Imaging Modalitie'!G8</f>
        <v>15000</v>
      </c>
      <c r="I63" s="42">
        <f>'Specification Imaging Modalitie'!H8</f>
        <v>250000</v>
      </c>
    </row>
    <row r="64" ht="15.75" customHeight="1" outlineLevel="1">
      <c r="A64" s="23" t="s">
        <v>163</v>
      </c>
      <c r="B64" s="30" t="s">
        <v>164</v>
      </c>
      <c r="C64" s="23" t="s">
        <v>53</v>
      </c>
      <c r="D64" s="32"/>
      <c r="E64" s="37"/>
      <c r="F64" s="42">
        <f>'Specification Imaging Modalitie'!E9</f>
        <v>120000</v>
      </c>
      <c r="G64" s="42">
        <f>'Specification Imaging Modalitie'!F9</f>
        <v>120000</v>
      </c>
      <c r="H64" s="42">
        <f>'Specification Imaging Modalitie'!G9</f>
        <v>120000</v>
      </c>
      <c r="I64" s="42">
        <f>'Specification Imaging Modalitie'!H9</f>
        <v>120000</v>
      </c>
    </row>
    <row r="65" ht="15.75" customHeight="1" outlineLevel="1">
      <c r="A65" s="23" t="s">
        <v>165</v>
      </c>
      <c r="B65" s="30" t="s">
        <v>166</v>
      </c>
      <c r="C65" s="23" t="s">
        <v>35</v>
      </c>
      <c r="D65" s="62"/>
      <c r="E65" s="44"/>
      <c r="F65" s="33">
        <f>'Specification Imaging Modalitie'!E10</f>
        <v>2</v>
      </c>
      <c r="G65" s="33">
        <f>'Specification Imaging Modalitie'!F10</f>
        <v>5</v>
      </c>
      <c r="H65" s="33">
        <f>'Specification Imaging Modalitie'!G10</f>
        <v>5</v>
      </c>
      <c r="I65" s="33">
        <f>'Specification Imaging Modalitie'!H10</f>
        <v>0.5</v>
      </c>
    </row>
    <row r="66" outlineLevel="1">
      <c r="A66" s="6" t="s">
        <v>167</v>
      </c>
      <c r="B66" s="30" t="s">
        <v>168</v>
      </c>
      <c r="C66" s="6" t="s">
        <v>26</v>
      </c>
      <c r="D66" s="30" t="s">
        <v>169</v>
      </c>
      <c r="E66" s="31"/>
      <c r="F66" s="31">
        <f>'Specification Imaging Modalitie'!E11</f>
        <v>1</v>
      </c>
      <c r="G66" s="31">
        <f>'Specification Imaging Modalitie'!F11</f>
        <v>1</v>
      </c>
      <c r="H66" s="31">
        <f>'Specification Imaging Modalitie'!G11</f>
        <v>1</v>
      </c>
      <c r="I66" s="31">
        <f>'Specification Imaging Modalitie'!H11</f>
        <v>1</v>
      </c>
    </row>
    <row r="67" ht="15.75" customHeight="1" outlineLevel="1">
      <c r="A67" s="6" t="s">
        <v>170</v>
      </c>
      <c r="B67" s="29" t="s">
        <v>171</v>
      </c>
      <c r="C67" s="6" t="s">
        <v>26</v>
      </c>
      <c r="D67" s="30" t="s">
        <v>172</v>
      </c>
      <c r="E67" s="31"/>
      <c r="F67" s="31">
        <f>'Specification Imaging Modalitie'!E12</f>
        <v>0</v>
      </c>
      <c r="G67" s="31">
        <f>'Specification Imaging Modalitie'!F12</f>
        <v>0</v>
      </c>
      <c r="H67" s="31">
        <f>'Specification Imaging Modalitie'!G12</f>
        <v>0</v>
      </c>
      <c r="I67" s="31">
        <f>'Specification Imaging Modalitie'!H12</f>
        <v>0</v>
      </c>
    </row>
    <row r="68" ht="15.75" customHeight="1" outlineLevel="1">
      <c r="A68" s="6" t="s">
        <v>173</v>
      </c>
      <c r="B68" s="29" t="s">
        <v>174</v>
      </c>
      <c r="C68" s="6" t="s">
        <v>26</v>
      </c>
      <c r="D68" s="30" t="s">
        <v>175</v>
      </c>
      <c r="E68" s="53"/>
      <c r="F68" s="31">
        <f>'Specification Imaging Modalitie'!E13</f>
        <v>1</v>
      </c>
      <c r="G68" s="31">
        <f>'Specification Imaging Modalitie'!F13</f>
        <v>1</v>
      </c>
      <c r="H68" s="31">
        <f>'Specification Imaging Modalitie'!G13</f>
        <v>1</v>
      </c>
      <c r="I68" s="31">
        <f>'Specification Imaging Modalitie'!H13</f>
        <v>1</v>
      </c>
    </row>
    <row r="69" ht="15.75" customHeight="1" outlineLevel="1">
      <c r="A69" s="6" t="s">
        <v>224</v>
      </c>
      <c r="B69" s="29" t="s">
        <v>225</v>
      </c>
      <c r="C69" s="6" t="s">
        <v>35</v>
      </c>
      <c r="D69" s="100" t="s">
        <v>226</v>
      </c>
      <c r="E69" s="33"/>
      <c r="F69" s="33">
        <f t="shared" ref="F69:I69" si="49">F14/F58</f>
        <v>100</v>
      </c>
      <c r="G69" s="33">
        <f t="shared" si="49"/>
        <v>100</v>
      </c>
      <c r="H69" s="33">
        <f t="shared" si="49"/>
        <v>100</v>
      </c>
      <c r="I69" s="33">
        <f t="shared" si="49"/>
        <v>10</v>
      </c>
    </row>
    <row r="70" ht="15.75" customHeight="1" outlineLevel="1">
      <c r="A70" s="23" t="s">
        <v>227</v>
      </c>
      <c r="B70" s="30" t="s">
        <v>228</v>
      </c>
      <c r="C70" s="23" t="s">
        <v>162</v>
      </c>
      <c r="D70" s="100" t="s">
        <v>226</v>
      </c>
      <c r="E70" s="22"/>
      <c r="F70" s="22">
        <f t="shared" ref="F70:I70" si="50">F64/F65+F63</f>
        <v>110000</v>
      </c>
      <c r="G70" s="22">
        <f t="shared" si="50"/>
        <v>39000</v>
      </c>
      <c r="H70" s="22">
        <f t="shared" si="50"/>
        <v>39000</v>
      </c>
      <c r="I70" s="22">
        <f t="shared" si="50"/>
        <v>490000</v>
      </c>
    </row>
    <row r="71" ht="15.75" customHeight="1" outlineLevel="1">
      <c r="A71" s="23" t="s">
        <v>229</v>
      </c>
      <c r="B71" s="30" t="s">
        <v>230</v>
      </c>
      <c r="C71" s="23" t="s">
        <v>231</v>
      </c>
      <c r="D71" s="100" t="s">
        <v>226</v>
      </c>
      <c r="E71" s="21"/>
      <c r="F71" s="21">
        <f t="shared" ref="F71:I71" si="51">F58+F70</f>
        <v>610000</v>
      </c>
      <c r="G71" s="21">
        <f t="shared" si="51"/>
        <v>539000</v>
      </c>
      <c r="H71" s="21">
        <f t="shared" si="51"/>
        <v>539000</v>
      </c>
      <c r="I71" s="21">
        <f t="shared" si="51"/>
        <v>5490000</v>
      </c>
    </row>
    <row r="72" ht="15.75" customHeight="1" outlineLevel="1">
      <c r="A72" s="23" t="s">
        <v>232</v>
      </c>
      <c r="B72" s="30" t="s">
        <v>233</v>
      </c>
      <c r="C72" s="23" t="s">
        <v>153</v>
      </c>
      <c r="D72" s="100" t="s">
        <v>226</v>
      </c>
      <c r="E72" s="33"/>
      <c r="F72" s="33">
        <f t="shared" ref="F72:I72" si="52">F60/(F62/F61)*F66</f>
        <v>225</v>
      </c>
      <c r="G72" s="33">
        <f t="shared" si="52"/>
        <v>3300</v>
      </c>
      <c r="H72" s="33">
        <f t="shared" si="52"/>
        <v>11</v>
      </c>
      <c r="I72" s="33">
        <f t="shared" si="52"/>
        <v>250</v>
      </c>
    </row>
    <row r="73" ht="15.75" customHeight="1" outlineLevel="1">
      <c r="A73" s="23" t="s">
        <v>234</v>
      </c>
      <c r="B73" s="29" t="s">
        <v>235</v>
      </c>
      <c r="C73" s="23" t="s">
        <v>236</v>
      </c>
      <c r="D73" s="100" t="s">
        <v>226</v>
      </c>
      <c r="E73" s="54"/>
      <c r="F73" s="54">
        <f t="shared" ref="F73:I73" si="53">(F72*1000000*86400)/F100</f>
        <v>0.05964545455</v>
      </c>
      <c r="G73" s="54">
        <f t="shared" si="53"/>
        <v>6480</v>
      </c>
      <c r="H73" s="54">
        <f t="shared" si="53"/>
        <v>21.6</v>
      </c>
      <c r="I73" s="54">
        <f t="shared" si="53"/>
        <v>0.01963636364</v>
      </c>
    </row>
    <row r="74" ht="15.75" customHeight="1" outlineLevel="1">
      <c r="A74" s="23" t="s">
        <v>237</v>
      </c>
      <c r="B74" s="23" t="s">
        <v>237</v>
      </c>
      <c r="C74" s="23" t="s">
        <v>238</v>
      </c>
      <c r="D74" s="100" t="s">
        <v>226</v>
      </c>
      <c r="E74" s="34"/>
      <c r="F74" s="34">
        <f t="shared" ref="F74:I74" si="54">F59*365*24*60*60*F72*1000000</f>
        <v>7.0956E+16</v>
      </c>
      <c r="G74" s="34">
        <f t="shared" si="54"/>
        <v>5.20344E+17</v>
      </c>
      <c r="H74" s="34">
        <f t="shared" si="54"/>
        <v>1.73448E+15</v>
      </c>
      <c r="I74" s="34">
        <f t="shared" si="54"/>
        <v>7.884E+16</v>
      </c>
    </row>
    <row r="75" ht="15.75" customHeight="1" outlineLevel="1">
      <c r="A75" s="23" t="s">
        <v>239</v>
      </c>
      <c r="B75" s="30"/>
      <c r="C75" s="23" t="s">
        <v>240</v>
      </c>
      <c r="D75" s="100" t="s">
        <v>226</v>
      </c>
      <c r="E75" s="33"/>
      <c r="F75" s="33">
        <f t="shared" ref="F75:I75" si="55">F74/F71</f>
        <v>116321311475</v>
      </c>
      <c r="G75" s="33">
        <f t="shared" si="55"/>
        <v>965387755102</v>
      </c>
      <c r="H75" s="33">
        <f t="shared" si="55"/>
        <v>3217959184</v>
      </c>
      <c r="I75" s="33">
        <f t="shared" si="55"/>
        <v>14360655738</v>
      </c>
    </row>
    <row r="76" ht="15.75" customHeight="1" outlineLevel="1">
      <c r="A76" s="23" t="s">
        <v>241</v>
      </c>
      <c r="B76" s="30"/>
      <c r="C76" s="23" t="s">
        <v>242</v>
      </c>
      <c r="D76" s="100" t="s">
        <v>226</v>
      </c>
      <c r="E76" s="42"/>
      <c r="F76" s="42">
        <f t="shared" ref="F76:I76" si="56">F100/F75</f>
        <v>2801.945076</v>
      </c>
      <c r="G76" s="42">
        <f t="shared" si="56"/>
        <v>0.04557754101</v>
      </c>
      <c r="H76" s="42">
        <f t="shared" si="56"/>
        <v>13.6732623</v>
      </c>
      <c r="I76" s="42">
        <f t="shared" si="56"/>
        <v>76598.17352</v>
      </c>
    </row>
    <row r="77" ht="15.75" customHeight="1" outlineLevel="1">
      <c r="A77" s="23" t="s">
        <v>243</v>
      </c>
      <c r="B77" s="30"/>
      <c r="C77" s="23" t="s">
        <v>244</v>
      </c>
      <c r="D77" s="100" t="s">
        <v>226</v>
      </c>
      <c r="E77" s="42"/>
      <c r="F77" s="42">
        <f t="shared" ref="F77:I77" si="57">F76*F98</f>
        <v>3082.139584</v>
      </c>
      <c r="G77" s="42">
        <f t="shared" si="57"/>
        <v>205.3541688</v>
      </c>
      <c r="H77" s="42">
        <f t="shared" si="57"/>
        <v>61606.25063</v>
      </c>
      <c r="I77" s="42">
        <f t="shared" si="57"/>
        <v>84257.99087</v>
      </c>
    </row>
    <row r="78" ht="15.75" customHeight="1">
      <c r="A78" s="96"/>
      <c r="B78" s="29"/>
      <c r="D78" s="35"/>
      <c r="E78" s="33"/>
      <c r="F78" s="33"/>
      <c r="G78" s="33"/>
      <c r="H78" s="33"/>
      <c r="I78" s="33"/>
    </row>
    <row r="79" ht="15.75" customHeight="1">
      <c r="A79" s="28" t="s">
        <v>245</v>
      </c>
      <c r="B79" s="29"/>
      <c r="D79" s="35"/>
      <c r="E79" s="33"/>
      <c r="F79" s="33"/>
      <c r="G79" s="33"/>
      <c r="H79" s="33"/>
      <c r="I79" s="33"/>
    </row>
    <row r="80" outlineLevel="1">
      <c r="A80" s="6" t="s">
        <v>176</v>
      </c>
      <c r="B80" s="29" t="s">
        <v>177</v>
      </c>
      <c r="C80" s="6" t="s">
        <v>99</v>
      </c>
      <c r="D80" s="32" t="s">
        <v>246</v>
      </c>
      <c r="E80" s="33"/>
      <c r="F80" s="33">
        <f>'Specification Imaging Modalitie'!E14</f>
        <v>1</v>
      </c>
      <c r="G80" s="33">
        <f>'Specification Imaging Modalitie'!F14</f>
        <v>16</v>
      </c>
      <c r="H80" s="33">
        <f>'Specification Imaging Modalitie'!G14</f>
        <v>16</v>
      </c>
      <c r="I80" s="33">
        <f>'Specification Imaging Modalitie'!H14</f>
        <v>1</v>
      </c>
    </row>
    <row r="81" ht="15.75" customHeight="1" outlineLevel="1">
      <c r="A81" s="23" t="s">
        <v>179</v>
      </c>
      <c r="B81" s="30" t="s">
        <v>180</v>
      </c>
      <c r="C81" s="23" t="s">
        <v>181</v>
      </c>
      <c r="D81" s="40" t="s">
        <v>247</v>
      </c>
      <c r="E81" s="38"/>
      <c r="F81" s="42">
        <f>'Specification Imaging Modalitie'!E15</f>
        <v>100000</v>
      </c>
      <c r="G81" s="42">
        <f>'Specification Imaging Modalitie'!F15</f>
        <v>2</v>
      </c>
      <c r="H81" s="42">
        <f>'Specification Imaging Modalitie'!G15</f>
        <v>2</v>
      </c>
      <c r="I81" s="42">
        <f>'Specification Imaging Modalitie'!H15</f>
        <v>200000</v>
      </c>
    </row>
    <row r="82" ht="15.75" customHeight="1" outlineLevel="1">
      <c r="A82" s="23" t="s">
        <v>183</v>
      </c>
      <c r="B82" s="30"/>
      <c r="C82" s="23" t="s">
        <v>181</v>
      </c>
      <c r="D82" s="40" t="s">
        <v>184</v>
      </c>
      <c r="E82" s="38"/>
      <c r="F82" s="42">
        <f>'Specification Imaging Modalitie'!E16</f>
        <v>2</v>
      </c>
      <c r="G82" s="42">
        <f>'Specification Imaging Modalitie'!F16</f>
        <v>2</v>
      </c>
      <c r="H82" s="42">
        <f>'Specification Imaging Modalitie'!G16</f>
        <v>2</v>
      </c>
      <c r="I82" s="42">
        <f>'Specification Imaging Modalitie'!H16</f>
        <v>2</v>
      </c>
    </row>
    <row r="83" ht="15.75" customHeight="1" outlineLevel="1">
      <c r="A83" s="23" t="s">
        <v>185</v>
      </c>
      <c r="B83" s="30"/>
      <c r="C83" s="23" t="s">
        <v>181</v>
      </c>
      <c r="D83" s="40" t="s">
        <v>186</v>
      </c>
      <c r="E83" s="38"/>
      <c r="F83" s="37">
        <f>'Specification Imaging Modalitie'!E17</f>
        <v>2850</v>
      </c>
      <c r="G83" s="37">
        <f>'Specification Imaging Modalitie'!F17</f>
        <v>2850</v>
      </c>
      <c r="H83" s="37">
        <f>'Specification Imaging Modalitie'!G17</f>
        <v>2850</v>
      </c>
      <c r="I83" s="37">
        <f>'Specification Imaging Modalitie'!H17</f>
        <v>2850</v>
      </c>
    </row>
    <row r="84" ht="15.75" customHeight="1" outlineLevel="1">
      <c r="A84" s="23" t="s">
        <v>187</v>
      </c>
      <c r="B84" s="29" t="s">
        <v>188</v>
      </c>
      <c r="C84" s="6" t="s">
        <v>189</v>
      </c>
      <c r="D84" s="64" t="s">
        <v>190</v>
      </c>
      <c r="E84" s="44"/>
      <c r="F84" s="33">
        <f>'Specification Imaging Modalitie'!E18</f>
        <v>15</v>
      </c>
      <c r="G84" s="33">
        <f>'Specification Imaging Modalitie'!F18</f>
        <v>15</v>
      </c>
      <c r="H84" s="33">
        <f>'Specification Imaging Modalitie'!G18</f>
        <v>15</v>
      </c>
      <c r="I84" s="33">
        <f>'Specification Imaging Modalitie'!H18</f>
        <v>15</v>
      </c>
    </row>
    <row r="85" outlineLevel="1">
      <c r="A85" s="6" t="s">
        <v>191</v>
      </c>
      <c r="B85" s="29" t="s">
        <v>192</v>
      </c>
      <c r="C85" s="6" t="s">
        <v>193</v>
      </c>
      <c r="D85" s="32"/>
      <c r="E85" s="33"/>
      <c r="F85" s="33">
        <f>'Specification Imaging Modalitie'!E19</f>
        <v>15</v>
      </c>
      <c r="G85" s="33">
        <f>'Specification Imaging Modalitie'!F19</f>
        <v>250</v>
      </c>
      <c r="H85" s="33">
        <f>'Specification Imaging Modalitie'!G19</f>
        <v>250</v>
      </c>
      <c r="I85" s="33">
        <f>'Specification Imaging Modalitie'!H19</f>
        <v>10</v>
      </c>
      <c r="L85" s="58"/>
    </row>
    <row r="86" outlineLevel="1">
      <c r="A86" s="6" t="s">
        <v>194</v>
      </c>
      <c r="B86" s="29" t="s">
        <v>195</v>
      </c>
      <c r="C86" s="6" t="s">
        <v>193</v>
      </c>
      <c r="D86" s="62"/>
      <c r="E86" s="33"/>
      <c r="F86" s="33">
        <f>'Specification Imaging Modalitie'!E20</f>
        <v>15</v>
      </c>
      <c r="G86" s="33">
        <f>'Specification Imaging Modalitie'!F20</f>
        <v>250</v>
      </c>
      <c r="H86" s="33">
        <f>'Specification Imaging Modalitie'!G20</f>
        <v>250</v>
      </c>
      <c r="I86" s="33">
        <f>'Specification Imaging Modalitie'!H20</f>
        <v>10</v>
      </c>
    </row>
    <row r="87" outlineLevel="1">
      <c r="A87" s="6" t="s">
        <v>196</v>
      </c>
      <c r="B87" s="29" t="s">
        <v>197</v>
      </c>
      <c r="C87" s="6" t="s">
        <v>193</v>
      </c>
      <c r="D87" s="62"/>
      <c r="E87" s="33"/>
      <c r="F87" s="33">
        <f>'Specification Imaging Modalitie'!E21</f>
        <v>15</v>
      </c>
      <c r="G87" s="33">
        <f>'Specification Imaging Modalitie'!F21</f>
        <v>400</v>
      </c>
      <c r="H87" s="33">
        <f>'Specification Imaging Modalitie'!G21</f>
        <v>400</v>
      </c>
      <c r="I87" s="33">
        <f>'Specification Imaging Modalitie'!H21</f>
        <v>10</v>
      </c>
    </row>
    <row r="88" outlineLevel="1">
      <c r="A88" s="23" t="s">
        <v>198</v>
      </c>
      <c r="B88" s="30" t="s">
        <v>199</v>
      </c>
      <c r="C88" s="23" t="s">
        <v>35</v>
      </c>
      <c r="D88" s="32" t="s">
        <v>200</v>
      </c>
      <c r="E88" s="33"/>
      <c r="F88" s="33">
        <f>'Specification Imaging Modalitie'!E22</f>
        <v>1</v>
      </c>
      <c r="G88" s="33">
        <f>'Specification Imaging Modalitie'!F22</f>
        <v>10000</v>
      </c>
      <c r="H88" s="33">
        <f>'Specification Imaging Modalitie'!G22</f>
        <v>10000</v>
      </c>
      <c r="I88" s="33">
        <f>'Specification Imaging Modalitie'!H22</f>
        <v>1</v>
      </c>
      <c r="L88" s="58"/>
    </row>
    <row r="89" outlineLevel="1">
      <c r="A89" s="23" t="s">
        <v>201</v>
      </c>
      <c r="B89" s="29"/>
      <c r="C89" s="23" t="s">
        <v>202</v>
      </c>
      <c r="D89" s="32" t="s">
        <v>203</v>
      </c>
      <c r="E89" s="33"/>
      <c r="F89" s="33">
        <f>'Specification Imaging Modalitie'!E23</f>
        <v>6000</v>
      </c>
      <c r="G89" s="33">
        <f>'Specification Imaging Modalitie'!F23</f>
        <v>2048</v>
      </c>
      <c r="H89" s="33">
        <f>'Specification Imaging Modalitie'!G23</f>
        <v>5000</v>
      </c>
      <c r="I89" s="33">
        <f>'Specification Imaging Modalitie'!H23</f>
        <v>5000</v>
      </c>
    </row>
    <row r="90" outlineLevel="1">
      <c r="A90" s="23" t="s">
        <v>204</v>
      </c>
      <c r="B90" s="29"/>
      <c r="C90" s="23" t="s">
        <v>202</v>
      </c>
      <c r="D90" s="62"/>
      <c r="E90" s="33"/>
      <c r="F90" s="33">
        <f>'Specification Imaging Modalitie'!E24</f>
        <v>6000</v>
      </c>
      <c r="G90" s="33">
        <f>'Specification Imaging Modalitie'!F24</f>
        <v>2048</v>
      </c>
      <c r="H90" s="33">
        <f>'Specification Imaging Modalitie'!G24</f>
        <v>5000</v>
      </c>
      <c r="I90" s="33">
        <f>'Specification Imaging Modalitie'!H24</f>
        <v>5000</v>
      </c>
    </row>
    <row r="91" outlineLevel="1">
      <c r="A91" s="6" t="s">
        <v>205</v>
      </c>
      <c r="B91" s="29" t="s">
        <v>248</v>
      </c>
      <c r="C91" s="6" t="s">
        <v>106</v>
      </c>
      <c r="D91" s="101"/>
      <c r="E91" s="53"/>
      <c r="F91" s="31">
        <f>'Specification Imaging Modalitie'!E25</f>
        <v>0.1</v>
      </c>
      <c r="G91" s="31">
        <f>'Specification Imaging Modalitie'!F25</f>
        <v>0.1</v>
      </c>
      <c r="H91" s="31">
        <f>'Specification Imaging Modalitie'!G25</f>
        <v>0.1</v>
      </c>
      <c r="I91" s="31">
        <f>'Specification Imaging Modalitie'!H25</f>
        <v>0.1</v>
      </c>
    </row>
    <row r="92" outlineLevel="1">
      <c r="A92" s="23" t="s">
        <v>249</v>
      </c>
      <c r="B92" s="29"/>
      <c r="C92" s="23" t="s">
        <v>193</v>
      </c>
      <c r="D92" s="62"/>
      <c r="E92" s="33"/>
      <c r="F92" s="33">
        <f t="shared" ref="F92:I92" si="58">F85/F80</f>
        <v>15</v>
      </c>
      <c r="G92" s="33">
        <f t="shared" si="58"/>
        <v>15.625</v>
      </c>
      <c r="H92" s="33">
        <f t="shared" si="58"/>
        <v>15.625</v>
      </c>
      <c r="I92" s="33">
        <f t="shared" si="58"/>
        <v>10</v>
      </c>
    </row>
    <row r="93" outlineLevel="1">
      <c r="A93" s="23" t="s">
        <v>250</v>
      </c>
      <c r="B93" s="29"/>
      <c r="C93" s="23" t="s">
        <v>193</v>
      </c>
      <c r="D93" s="62"/>
      <c r="E93" s="33"/>
      <c r="F93" s="33">
        <f t="shared" ref="F93:I93" si="59">F86/F80</f>
        <v>15</v>
      </c>
      <c r="G93" s="33">
        <f t="shared" si="59"/>
        <v>15.625</v>
      </c>
      <c r="H93" s="33">
        <f t="shared" si="59"/>
        <v>15.625</v>
      </c>
      <c r="I93" s="33">
        <f t="shared" si="59"/>
        <v>10</v>
      </c>
    </row>
    <row r="94" outlineLevel="1">
      <c r="A94" s="23" t="s">
        <v>251</v>
      </c>
      <c r="B94" s="29"/>
      <c r="C94" s="23" t="s">
        <v>193</v>
      </c>
      <c r="D94" s="62"/>
      <c r="E94" s="33"/>
      <c r="F94" s="33">
        <f t="shared" ref="F94:I94" si="60">F87/F80</f>
        <v>15</v>
      </c>
      <c r="G94" s="33">
        <f t="shared" si="60"/>
        <v>25</v>
      </c>
      <c r="H94" s="33">
        <f t="shared" si="60"/>
        <v>25</v>
      </c>
      <c r="I94" s="33">
        <f t="shared" si="60"/>
        <v>10</v>
      </c>
    </row>
    <row r="95" outlineLevel="1">
      <c r="A95" s="23" t="s">
        <v>252</v>
      </c>
      <c r="B95" s="29" t="s">
        <v>253</v>
      </c>
      <c r="C95" s="23" t="s">
        <v>254</v>
      </c>
      <c r="D95" s="29"/>
      <c r="F95" s="6">
        <f t="shared" ref="F95:I95" si="61">F92*F89/1000</f>
        <v>90</v>
      </c>
      <c r="G95" s="6">
        <f t="shared" si="61"/>
        <v>32</v>
      </c>
      <c r="H95" s="6">
        <f t="shared" si="61"/>
        <v>78.125</v>
      </c>
      <c r="I95" s="6">
        <f t="shared" si="61"/>
        <v>50</v>
      </c>
    </row>
    <row r="96" outlineLevel="1">
      <c r="A96" s="23" t="s">
        <v>255</v>
      </c>
      <c r="B96" s="29" t="s">
        <v>253</v>
      </c>
      <c r="C96" s="23" t="s">
        <v>254</v>
      </c>
      <c r="D96" s="29"/>
      <c r="F96" s="6">
        <f t="shared" ref="F96:I96" si="62">F93*F90/1000</f>
        <v>90</v>
      </c>
      <c r="G96" s="6">
        <f t="shared" si="62"/>
        <v>32</v>
      </c>
      <c r="H96" s="6">
        <f t="shared" si="62"/>
        <v>78.125</v>
      </c>
      <c r="I96" s="6">
        <f t="shared" si="62"/>
        <v>50</v>
      </c>
    </row>
    <row r="97" outlineLevel="1">
      <c r="A97" s="23" t="s">
        <v>256</v>
      </c>
      <c r="B97" s="29" t="s">
        <v>253</v>
      </c>
      <c r="C97" s="23" t="s">
        <v>254</v>
      </c>
      <c r="D97" s="29"/>
      <c r="F97" s="6">
        <f t="shared" ref="F97:I97" si="63">F94/1000</f>
        <v>0.015</v>
      </c>
      <c r="G97" s="6">
        <f t="shared" si="63"/>
        <v>0.025</v>
      </c>
      <c r="H97" s="6">
        <f t="shared" si="63"/>
        <v>0.025</v>
      </c>
      <c r="I97" s="6">
        <f t="shared" si="63"/>
        <v>0.01</v>
      </c>
    </row>
    <row r="98" ht="15.75" customHeight="1" outlineLevel="1">
      <c r="A98" s="23" t="s">
        <v>257</v>
      </c>
      <c r="B98" s="29"/>
      <c r="C98" s="23" t="s">
        <v>258</v>
      </c>
      <c r="D98" s="62"/>
      <c r="E98" s="51"/>
      <c r="F98" s="51">
        <f t="shared" ref="F98:I98" si="64">F80^3*(1+F91)</f>
        <v>1.1</v>
      </c>
      <c r="G98" s="51">
        <f t="shared" si="64"/>
        <v>4505.6</v>
      </c>
      <c r="H98" s="51">
        <f t="shared" si="64"/>
        <v>4505.6</v>
      </c>
      <c r="I98" s="51">
        <f t="shared" si="64"/>
        <v>1.1</v>
      </c>
    </row>
    <row r="99" ht="15.75" customHeight="1" outlineLevel="1">
      <c r="A99" s="6" t="s">
        <v>259</v>
      </c>
      <c r="B99" s="29" t="s">
        <v>260</v>
      </c>
      <c r="C99" s="23" t="s">
        <v>261</v>
      </c>
      <c r="D99" s="62"/>
      <c r="E99" s="54"/>
      <c r="F99" s="54">
        <f t="shared" ref="F99:I99" si="65">F9*POWER(F80,3)*(1+F67)</f>
        <v>500</v>
      </c>
      <c r="G99" s="54">
        <f t="shared" si="65"/>
        <v>2048000</v>
      </c>
      <c r="H99" s="54">
        <f t="shared" si="65"/>
        <v>2048000</v>
      </c>
      <c r="I99" s="54">
        <f t="shared" si="65"/>
        <v>500</v>
      </c>
    </row>
    <row r="100" ht="15.75" customHeight="1" outlineLevel="1">
      <c r="A100" s="23" t="s">
        <v>262</v>
      </c>
      <c r="B100" s="29" t="str">
        <f> 10^18 / (nx*ny*nz)</f>
        <v>#NAME?</v>
      </c>
      <c r="C100" s="23" t="s">
        <v>263</v>
      </c>
      <c r="D100" s="102"/>
      <c r="E100" s="55"/>
      <c r="F100" s="55">
        <f t="shared" ref="F100:I100" si="66">1000000000000000000/F85/F86/F87*(1+F91)</f>
        <v>325925925925926</v>
      </c>
      <c r="G100" s="55">
        <f t="shared" si="66"/>
        <v>44000000000</v>
      </c>
      <c r="H100" s="55">
        <f t="shared" si="66"/>
        <v>44000000000</v>
      </c>
      <c r="I100" s="55">
        <f t="shared" si="66"/>
        <v>1.1E+15</v>
      </c>
    </row>
    <row r="101" ht="15.75" customHeight="1" outlineLevel="1">
      <c r="A101" s="23" t="s">
        <v>264</v>
      </c>
      <c r="B101" s="29" t="str">
        <f> 10^3 / (nx*ny*nz)</f>
        <v>#NAME?</v>
      </c>
      <c r="C101" s="23" t="s">
        <v>265</v>
      </c>
      <c r="D101" s="62"/>
      <c r="E101" s="56"/>
      <c r="F101" s="56">
        <f t="shared" ref="F101:I101" si="67">F100/1000000000000000</f>
        <v>0.3259259259</v>
      </c>
      <c r="G101" s="56">
        <f t="shared" si="67"/>
        <v>0.000044</v>
      </c>
      <c r="H101" s="56">
        <f t="shared" si="67"/>
        <v>0.000044</v>
      </c>
      <c r="I101" s="56">
        <f t="shared" si="67"/>
        <v>1.1</v>
      </c>
    </row>
    <row r="102" ht="15.75" customHeight="1" outlineLevel="1">
      <c r="A102" s="6" t="s">
        <v>266</v>
      </c>
      <c r="B102" s="29" t="s">
        <v>267</v>
      </c>
      <c r="C102" s="6" t="s">
        <v>268</v>
      </c>
      <c r="D102" s="62"/>
      <c r="E102" s="57"/>
      <c r="F102" s="57">
        <f t="shared" ref="F102:I102" si="68">F101*F99</f>
        <v>162.962963</v>
      </c>
      <c r="G102" s="57">
        <f t="shared" si="68"/>
        <v>90.112</v>
      </c>
      <c r="H102" s="57">
        <f t="shared" si="68"/>
        <v>90.112</v>
      </c>
      <c r="I102" s="57">
        <f t="shared" si="68"/>
        <v>550</v>
      </c>
    </row>
    <row r="103" ht="15.75" customHeight="1" outlineLevel="1">
      <c r="A103" s="23" t="s">
        <v>269</v>
      </c>
      <c r="B103" s="29"/>
      <c r="C103" s="23" t="s">
        <v>35</v>
      </c>
      <c r="D103" s="62"/>
      <c r="E103" s="51"/>
      <c r="F103" s="51">
        <f t="shared" ref="F103:I103" si="69">F102/(F95*F96*F97/1000000000)/F88</f>
        <v>1341258954</v>
      </c>
      <c r="G103" s="51">
        <f t="shared" si="69"/>
        <v>352000</v>
      </c>
      <c r="H103" s="51">
        <f t="shared" si="69"/>
        <v>59055.80032</v>
      </c>
      <c r="I103" s="51">
        <f t="shared" si="69"/>
        <v>22000000000</v>
      </c>
    </row>
    <row r="104" ht="15.75" customHeight="1" outlineLevel="1">
      <c r="A104" s="23" t="s">
        <v>270</v>
      </c>
      <c r="B104" s="29"/>
      <c r="C104" s="23" t="s">
        <v>35</v>
      </c>
      <c r="D104" s="62"/>
      <c r="E104" s="51"/>
      <c r="F104" s="51">
        <f t="shared" ref="F104:I104" si="70">F103/F102</f>
        <v>8230452.675</v>
      </c>
      <c r="G104" s="51">
        <f t="shared" si="70"/>
        <v>3906.25</v>
      </c>
      <c r="H104" s="51">
        <f t="shared" si="70"/>
        <v>655.36</v>
      </c>
      <c r="I104" s="51">
        <f t="shared" si="70"/>
        <v>40000000</v>
      </c>
    </row>
    <row r="105" ht="15.75" customHeight="1" outlineLevel="1">
      <c r="A105" s="23" t="s">
        <v>271</v>
      </c>
      <c r="B105" s="30"/>
      <c r="C105" s="23" t="s">
        <v>181</v>
      </c>
      <c r="D105" s="40"/>
      <c r="E105" s="21"/>
      <c r="F105" s="21">
        <f t="shared" ref="F105:I105" si="71">F81+F83+F82*(F62-1)</f>
        <v>102850</v>
      </c>
      <c r="G105" s="21">
        <f t="shared" si="71"/>
        <v>2852</v>
      </c>
      <c r="H105" s="21">
        <f t="shared" si="71"/>
        <v>4450</v>
      </c>
      <c r="I105" s="21">
        <f t="shared" si="71"/>
        <v>202850</v>
      </c>
    </row>
    <row r="106" ht="15.75" customHeight="1">
      <c r="A106" s="96"/>
      <c r="B106" s="29"/>
      <c r="D106" s="29"/>
    </row>
    <row r="107" ht="15.75" customHeight="1">
      <c r="A107" s="96" t="s">
        <v>272</v>
      </c>
      <c r="B107" s="29"/>
      <c r="D107" s="29"/>
    </row>
    <row r="108" ht="15.75" customHeight="1" outlineLevel="1">
      <c r="A108" s="28" t="s">
        <v>273</v>
      </c>
      <c r="B108" s="29"/>
      <c r="D108" s="29"/>
    </row>
    <row r="109" ht="15.75" customHeight="1" outlineLevel="1">
      <c r="A109" s="6" t="s">
        <v>274</v>
      </c>
      <c r="B109" s="30" t="s">
        <v>275</v>
      </c>
      <c r="C109" s="6" t="s">
        <v>276</v>
      </c>
      <c r="D109" s="43" t="s">
        <v>277</v>
      </c>
      <c r="E109" s="55"/>
      <c r="F109" s="55">
        <f t="shared" ref="F109:I109" si="72">F100*F33</f>
        <v>325925925925926</v>
      </c>
      <c r="G109" s="55">
        <f t="shared" si="72"/>
        <v>44000000000</v>
      </c>
      <c r="H109" s="55">
        <f t="shared" si="72"/>
        <v>44000000000</v>
      </c>
      <c r="I109" s="55">
        <f t="shared" si="72"/>
        <v>1.1E+15</v>
      </c>
    </row>
    <row r="110" ht="15.75" customHeight="1" outlineLevel="1">
      <c r="A110" s="23" t="s">
        <v>278</v>
      </c>
      <c r="B110" s="29"/>
      <c r="C110" s="23" t="s">
        <v>279</v>
      </c>
      <c r="D110" s="32" t="s">
        <v>226</v>
      </c>
      <c r="E110" s="56"/>
      <c r="F110" s="56">
        <f t="shared" ref="F110:I110" si="73">F109/1000000000000000</f>
        <v>0.3259259259</v>
      </c>
      <c r="G110" s="56">
        <f t="shared" si="73"/>
        <v>0.000044</v>
      </c>
      <c r="H110" s="56">
        <f t="shared" si="73"/>
        <v>0.000044</v>
      </c>
      <c r="I110" s="56">
        <f t="shared" si="73"/>
        <v>1.1</v>
      </c>
    </row>
    <row r="111" ht="15.75" customHeight="1" outlineLevel="1">
      <c r="A111" s="23" t="s">
        <v>280</v>
      </c>
      <c r="B111" s="29" t="s">
        <v>281</v>
      </c>
      <c r="C111" s="23" t="s">
        <v>282</v>
      </c>
      <c r="D111" s="32" t="s">
        <v>226</v>
      </c>
      <c r="E111" s="57"/>
      <c r="F111" s="57">
        <f t="shared" ref="F111:I111" si="74">F109*F99/1000000000000000</f>
        <v>162.962963</v>
      </c>
      <c r="G111" s="57">
        <f t="shared" si="74"/>
        <v>90.112</v>
      </c>
      <c r="H111" s="57">
        <f t="shared" si="74"/>
        <v>90.112</v>
      </c>
      <c r="I111" s="57">
        <f t="shared" si="74"/>
        <v>550</v>
      </c>
    </row>
    <row r="112" ht="15.75" customHeight="1" outlineLevel="1">
      <c r="A112" s="23" t="s">
        <v>283</v>
      </c>
      <c r="B112" s="30" t="s">
        <v>284</v>
      </c>
      <c r="C112" s="23" t="s">
        <v>282</v>
      </c>
      <c r="D112" s="32" t="s">
        <v>226</v>
      </c>
      <c r="E112" s="57"/>
      <c r="F112" s="57">
        <f t="shared" ref="F112:I112" si="75">IF(F35=0,0,(F111/F35)+(F111*F36))</f>
        <v>9.50617284</v>
      </c>
      <c r="G112" s="57">
        <f t="shared" si="75"/>
        <v>5.256533333</v>
      </c>
      <c r="H112" s="57">
        <f t="shared" si="75"/>
        <v>5.256533333</v>
      </c>
      <c r="I112" s="57">
        <f t="shared" si="75"/>
        <v>32.08333333</v>
      </c>
    </row>
    <row r="113" ht="15.75" customHeight="1" outlineLevel="1">
      <c r="A113" s="23" t="s">
        <v>285</v>
      </c>
      <c r="B113" s="30" t="s">
        <v>286</v>
      </c>
      <c r="C113" s="23" t="s">
        <v>282</v>
      </c>
      <c r="D113" s="32" t="s">
        <v>226</v>
      </c>
      <c r="E113" s="57"/>
      <c r="F113" s="57">
        <f t="shared" ref="F113:I113" si="76">IF(F34=0,0,F111/F34+F36*F111)</f>
        <v>116.7901235</v>
      </c>
      <c r="G113" s="57">
        <f t="shared" si="76"/>
        <v>64.58026667</v>
      </c>
      <c r="H113" s="57">
        <f t="shared" si="76"/>
        <v>64.58026667</v>
      </c>
      <c r="I113" s="57">
        <f t="shared" si="76"/>
        <v>394.1666667</v>
      </c>
    </row>
    <row r="114" ht="15.75" customHeight="1" outlineLevel="1">
      <c r="A114" s="28" t="s">
        <v>287</v>
      </c>
      <c r="B114" s="30"/>
      <c r="C114" s="23"/>
      <c r="D114" s="32"/>
      <c r="E114" s="49"/>
      <c r="F114" s="49"/>
      <c r="G114" s="49"/>
      <c r="H114" s="49"/>
      <c r="I114" s="49"/>
    </row>
    <row r="115" ht="15.75" customHeight="1" outlineLevel="1">
      <c r="A115" s="23" t="s">
        <v>288</v>
      </c>
      <c r="B115" s="30" t="s">
        <v>289</v>
      </c>
      <c r="C115" s="23" t="s">
        <v>290</v>
      </c>
      <c r="D115" s="32" t="s">
        <v>67</v>
      </c>
      <c r="E115" s="103"/>
      <c r="F115" s="103">
        <f t="shared" ref="F115:I115" si="77">(F43*60*60*24)/(F48*F104)</f>
        <v>0.0369328896</v>
      </c>
      <c r="G115" s="103">
        <f t="shared" si="77"/>
        <v>77.8174464</v>
      </c>
      <c r="H115" s="103">
        <f t="shared" si="77"/>
        <v>463.828125</v>
      </c>
      <c r="I115" s="103">
        <f t="shared" si="77"/>
        <v>0.00759936</v>
      </c>
    </row>
    <row r="116" ht="15.75" customHeight="1" outlineLevel="1">
      <c r="A116" s="23" t="s">
        <v>291</v>
      </c>
      <c r="B116" s="30" t="s">
        <v>292</v>
      </c>
      <c r="C116" s="23" t="s">
        <v>290</v>
      </c>
      <c r="D116" s="32" t="s">
        <v>67</v>
      </c>
      <c r="E116" s="103"/>
      <c r="F116" s="103">
        <f t="shared" ref="F116:I116" si="78">(F43*60*60*24)/(F49*1000000000000000)</f>
        <v>0.0569952</v>
      </c>
      <c r="G116" s="103">
        <f t="shared" si="78"/>
        <v>0.0569952</v>
      </c>
      <c r="H116" s="103">
        <f t="shared" si="78"/>
        <v>0.0569952</v>
      </c>
      <c r="I116" s="103">
        <f t="shared" si="78"/>
        <v>0.0569952</v>
      </c>
    </row>
    <row r="117" ht="15.75" customHeight="1" outlineLevel="1">
      <c r="A117" s="6" t="s">
        <v>293</v>
      </c>
      <c r="B117" s="30" t="s">
        <v>294</v>
      </c>
      <c r="C117" s="6" t="s">
        <v>295</v>
      </c>
      <c r="D117" s="32" t="s">
        <v>67</v>
      </c>
      <c r="E117" s="38"/>
      <c r="F117" s="38">
        <f t="shared" ref="F117:I117" si="79">F15*F122*24*F44/F9</f>
        <v>1299.654604</v>
      </c>
      <c r="G117" s="38">
        <f t="shared" si="79"/>
        <v>0.6168282592</v>
      </c>
      <c r="H117" s="38">
        <f t="shared" si="79"/>
        <v>0.1034866094</v>
      </c>
      <c r="I117" s="38">
        <f t="shared" si="79"/>
        <v>6316.321374</v>
      </c>
    </row>
    <row r="118" ht="15.75" customHeight="1" outlineLevel="1">
      <c r="A118" s="6" t="s">
        <v>296</v>
      </c>
      <c r="B118" s="29" t="s">
        <v>297</v>
      </c>
      <c r="C118" s="6" t="s">
        <v>295</v>
      </c>
      <c r="D118" s="32" t="s">
        <v>67</v>
      </c>
      <c r="E118" s="38"/>
      <c r="F118" s="38">
        <f t="shared" ref="F118:I118" si="80">F15*F123*F44*24/F102</f>
        <v>2583.949653</v>
      </c>
      <c r="G118" s="38">
        <f t="shared" si="80"/>
        <v>4672.941358</v>
      </c>
      <c r="H118" s="38">
        <f t="shared" si="80"/>
        <v>4672.941358</v>
      </c>
      <c r="I118" s="38">
        <f t="shared" si="80"/>
        <v>765.6147121</v>
      </c>
    </row>
    <row r="119" ht="15.75" customHeight="1" outlineLevel="1">
      <c r="A119" s="6" t="s">
        <v>298</v>
      </c>
      <c r="B119" s="29" t="s">
        <v>299</v>
      </c>
      <c r="C119" s="6" t="s">
        <v>295</v>
      </c>
      <c r="D119" s="32" t="s">
        <v>67</v>
      </c>
      <c r="E119" s="38"/>
      <c r="F119" s="38">
        <f t="shared" ref="F119:I119" si="81">F53*F52*F10/F9</f>
        <v>35000</v>
      </c>
      <c r="G119" s="38">
        <f t="shared" si="81"/>
        <v>35000</v>
      </c>
      <c r="H119" s="38">
        <f t="shared" si="81"/>
        <v>35000</v>
      </c>
      <c r="I119" s="38">
        <f t="shared" si="81"/>
        <v>35000</v>
      </c>
    </row>
    <row r="120" ht="15.75" customHeight="1" outlineLevel="1">
      <c r="A120" s="28" t="s">
        <v>300</v>
      </c>
      <c r="B120" s="29"/>
      <c r="D120" s="29"/>
    </row>
    <row r="121" ht="15.75" customHeight="1" outlineLevel="1">
      <c r="A121" s="6" t="s">
        <v>301</v>
      </c>
      <c r="B121" s="29" t="s">
        <v>356</v>
      </c>
      <c r="C121" s="6" t="s">
        <v>189</v>
      </c>
      <c r="D121" s="32" t="s">
        <v>67</v>
      </c>
      <c r="E121" s="57"/>
      <c r="F121" s="57">
        <f t="shared" ref="F121:I121" si="82">IF(F73*F69=0,0,F99/(F73*F69)+F84)</f>
        <v>98.82868465</v>
      </c>
      <c r="G121" s="57">
        <f t="shared" si="82"/>
        <v>18.16049383</v>
      </c>
      <c r="H121" s="57">
        <f t="shared" si="82"/>
        <v>963.1481481</v>
      </c>
      <c r="I121" s="57">
        <f t="shared" si="82"/>
        <v>2561.296296</v>
      </c>
    </row>
    <row r="122" ht="15.75" customHeight="1" outlineLevel="1">
      <c r="A122" s="23" t="s">
        <v>303</v>
      </c>
      <c r="B122" s="29"/>
      <c r="C122" s="6" t="s">
        <v>189</v>
      </c>
      <c r="D122" s="32" t="s">
        <v>67</v>
      </c>
      <c r="E122" s="57"/>
      <c r="F122" s="57">
        <f t="shared" ref="F122:I122" si="83">F9/(F115*F15)</f>
        <v>13.53806879</v>
      </c>
      <c r="G122" s="57">
        <f t="shared" si="83"/>
        <v>0.006425294367</v>
      </c>
      <c r="H122" s="57">
        <f t="shared" si="83"/>
        <v>0.001077985515</v>
      </c>
      <c r="I122" s="57">
        <f t="shared" si="83"/>
        <v>65.79501432</v>
      </c>
    </row>
    <row r="123" ht="15.75" customHeight="1" outlineLevel="1">
      <c r="A123" s="23" t="s">
        <v>304</v>
      </c>
      <c r="B123" s="29"/>
      <c r="C123" s="6" t="s">
        <v>189</v>
      </c>
      <c r="D123" s="32" t="s">
        <v>67</v>
      </c>
      <c r="E123" s="57"/>
      <c r="F123" s="57">
        <f t="shared" ref="F123:I123" si="84">F9/(F116*F15)</f>
        <v>8.772668576</v>
      </c>
      <c r="G123" s="57">
        <f t="shared" si="84"/>
        <v>8.772668576</v>
      </c>
      <c r="H123" s="57">
        <f t="shared" si="84"/>
        <v>8.772668576</v>
      </c>
      <c r="I123" s="57">
        <f t="shared" si="84"/>
        <v>8.772668576</v>
      </c>
    </row>
    <row r="124" ht="15.75" customHeight="1" outlineLevel="1">
      <c r="A124" s="23" t="s">
        <v>305</v>
      </c>
      <c r="B124" s="29" t="s">
        <v>306</v>
      </c>
      <c r="C124" s="6" t="s">
        <v>189</v>
      </c>
      <c r="D124" s="32" t="s">
        <v>67</v>
      </c>
      <c r="E124" s="57"/>
      <c r="F124" s="57">
        <f t="shared" ref="F124:I124" si="85">SUM(F122:F123)</f>
        <v>22.31073737</v>
      </c>
      <c r="G124" s="57">
        <f t="shared" si="85"/>
        <v>8.77909387</v>
      </c>
      <c r="H124" s="57">
        <f t="shared" si="85"/>
        <v>8.773746561</v>
      </c>
      <c r="I124" s="57">
        <f t="shared" si="85"/>
        <v>74.56768289</v>
      </c>
    </row>
    <row r="125" ht="15.75" customHeight="1" outlineLevel="1">
      <c r="A125" s="23" t="s">
        <v>307</v>
      </c>
      <c r="B125" s="29"/>
      <c r="C125" s="23" t="s">
        <v>189</v>
      </c>
      <c r="D125" s="32" t="s">
        <v>67</v>
      </c>
      <c r="E125" s="44"/>
      <c r="F125" s="44">
        <f t="shared" ref="F125:I125" si="86">F10*F52/(F55*F54)</f>
        <v>58.33333333</v>
      </c>
      <c r="G125" s="44">
        <f t="shared" si="86"/>
        <v>58.33333333</v>
      </c>
      <c r="H125" s="44">
        <f t="shared" si="86"/>
        <v>58.33333333</v>
      </c>
      <c r="I125" s="44">
        <f t="shared" si="86"/>
        <v>58.33333333</v>
      </c>
    </row>
    <row r="126" ht="15.75" customHeight="1" outlineLevel="1">
      <c r="A126" s="6" t="s">
        <v>308</v>
      </c>
      <c r="B126" s="30" t="s">
        <v>309</v>
      </c>
      <c r="C126" s="6" t="s">
        <v>189</v>
      </c>
      <c r="D126" s="32" t="s">
        <v>67</v>
      </c>
      <c r="E126" s="57"/>
      <c r="F126" s="57">
        <f t="shared" ref="F126:I126" si="87">F84+F121+F124+F125</f>
        <v>194.4727554</v>
      </c>
      <c r="G126" s="57">
        <f t="shared" si="87"/>
        <v>100.272921</v>
      </c>
      <c r="H126" s="57">
        <f t="shared" si="87"/>
        <v>1045.255228</v>
      </c>
      <c r="I126" s="57">
        <f t="shared" si="87"/>
        <v>2709.197313</v>
      </c>
    </row>
    <row r="127" ht="15.75" customHeight="1" outlineLevel="1">
      <c r="A127" s="6" t="s">
        <v>310</v>
      </c>
      <c r="B127" s="30" t="s">
        <v>311</v>
      </c>
      <c r="C127" s="6" t="s">
        <v>189</v>
      </c>
      <c r="D127" s="32" t="s">
        <v>67</v>
      </c>
      <c r="E127" s="57"/>
      <c r="F127" s="57">
        <f t="shared" ref="F127:I127" si="88">MAX(F125,F124,F121)</f>
        <v>98.82868465</v>
      </c>
      <c r="G127" s="57">
        <f t="shared" si="88"/>
        <v>58.33333333</v>
      </c>
      <c r="H127" s="57">
        <f t="shared" si="88"/>
        <v>963.1481481</v>
      </c>
      <c r="I127" s="57">
        <f t="shared" si="88"/>
        <v>2561.296296</v>
      </c>
    </row>
    <row r="128" ht="15.75" customHeight="1" outlineLevel="1">
      <c r="A128" s="28" t="s">
        <v>312</v>
      </c>
      <c r="B128" s="29"/>
      <c r="D128" s="29"/>
    </row>
    <row r="129" ht="15.75" customHeight="1" outlineLevel="1">
      <c r="A129" s="23" t="s">
        <v>313</v>
      </c>
      <c r="B129" s="29"/>
      <c r="C129" s="6" t="s">
        <v>63</v>
      </c>
      <c r="D129" s="32" t="s">
        <v>67</v>
      </c>
      <c r="E129" s="21"/>
      <c r="F129" s="21">
        <f t="shared" ref="F129:I129" si="89">F9*F105</f>
        <v>51425000</v>
      </c>
      <c r="G129" s="21">
        <f t="shared" si="89"/>
        <v>1426000</v>
      </c>
      <c r="H129" s="21">
        <f t="shared" si="89"/>
        <v>2225000</v>
      </c>
      <c r="I129" s="21">
        <f t="shared" si="89"/>
        <v>101425000</v>
      </c>
    </row>
    <row r="130" ht="15.75" customHeight="1" outlineLevel="1">
      <c r="A130" s="23" t="s">
        <v>314</v>
      </c>
      <c r="B130" s="29"/>
      <c r="C130" s="6" t="s">
        <v>63</v>
      </c>
      <c r="D130" s="32" t="s">
        <v>67</v>
      </c>
      <c r="E130" s="21"/>
      <c r="F130" s="21">
        <f t="shared" ref="F130:I130" si="90">F70*F69*F151</f>
        <v>2978398.716</v>
      </c>
      <c r="G130" s="21">
        <f t="shared" si="90"/>
        <v>194043.6327</v>
      </c>
      <c r="H130" s="21">
        <f t="shared" si="90"/>
        <v>10291171.99</v>
      </c>
      <c r="I130" s="21">
        <f t="shared" si="90"/>
        <v>34384525.62</v>
      </c>
    </row>
    <row r="131" ht="15.75" customHeight="1" outlineLevel="1">
      <c r="A131" s="23" t="s">
        <v>315</v>
      </c>
      <c r="B131" s="29"/>
      <c r="C131" s="6" t="s">
        <v>63</v>
      </c>
      <c r="D131" s="32" t="s">
        <v>67</v>
      </c>
      <c r="E131" s="21"/>
      <c r="F131" s="21">
        <f t="shared" ref="F131:I131" si="91">SUM(F129:F130)</f>
        <v>54403398.72</v>
      </c>
      <c r="G131" s="21">
        <f t="shared" si="91"/>
        <v>1620043.633</v>
      </c>
      <c r="H131" s="21">
        <f t="shared" si="91"/>
        <v>12516171.99</v>
      </c>
      <c r="I131" s="21">
        <f t="shared" si="91"/>
        <v>135809525.6</v>
      </c>
    </row>
    <row r="132" ht="15.75" customHeight="1" outlineLevel="1">
      <c r="A132" s="23" t="s">
        <v>316</v>
      </c>
      <c r="B132" s="29" t="s">
        <v>317</v>
      </c>
      <c r="C132" s="6" t="s">
        <v>63</v>
      </c>
      <c r="D132" s="32" t="s">
        <v>67</v>
      </c>
      <c r="E132" s="21"/>
      <c r="F132" s="21">
        <f t="shared" ref="F132:I132" si="92">F112*F37*F41*F45</f>
        <v>4491666.667</v>
      </c>
      <c r="G132" s="21">
        <f t="shared" si="92"/>
        <v>2483712</v>
      </c>
      <c r="H132" s="21">
        <f t="shared" si="92"/>
        <v>2483712</v>
      </c>
      <c r="I132" s="21">
        <f t="shared" si="92"/>
        <v>15159375</v>
      </c>
    </row>
    <row r="133" ht="15.75" customHeight="1" outlineLevel="1">
      <c r="A133" s="23" t="s">
        <v>318</v>
      </c>
      <c r="B133" s="29" t="s">
        <v>319</v>
      </c>
      <c r="C133" s="6" t="s">
        <v>63</v>
      </c>
      <c r="D133" s="32" t="s">
        <v>67</v>
      </c>
      <c r="E133" s="21"/>
      <c r="F133" s="21">
        <f t="shared" ref="F133:I133" si="93">F113*F38*F42*F46</f>
        <v>56059259.26</v>
      </c>
      <c r="G133" s="21">
        <f t="shared" si="93"/>
        <v>30998528</v>
      </c>
      <c r="H133" s="21">
        <f t="shared" si="93"/>
        <v>30998528</v>
      </c>
      <c r="I133" s="21">
        <f t="shared" si="93"/>
        <v>189200000</v>
      </c>
    </row>
    <row r="134" ht="15.75" customHeight="1" outlineLevel="1">
      <c r="A134" s="23" t="s">
        <v>320</v>
      </c>
      <c r="B134" s="29"/>
      <c r="C134" s="6" t="s">
        <v>63</v>
      </c>
      <c r="D134" s="32" t="s">
        <v>67</v>
      </c>
      <c r="E134" s="21"/>
      <c r="F134" s="21">
        <f t="shared" ref="F134:I134" si="94">F133+F132</f>
        <v>60550925.93</v>
      </c>
      <c r="G134" s="21">
        <f t="shared" si="94"/>
        <v>33482240</v>
      </c>
      <c r="H134" s="21">
        <f t="shared" si="94"/>
        <v>33482240</v>
      </c>
      <c r="I134" s="21">
        <f t="shared" si="94"/>
        <v>204359375</v>
      </c>
    </row>
    <row r="135" ht="15.75" customHeight="1" outlineLevel="1">
      <c r="A135" s="23" t="s">
        <v>321</v>
      </c>
      <c r="B135" s="29" t="s">
        <v>317</v>
      </c>
      <c r="C135" s="6" t="s">
        <v>63</v>
      </c>
      <c r="D135" s="32" t="s">
        <v>67</v>
      </c>
      <c r="E135" s="21"/>
      <c r="F135" s="21">
        <f t="shared" ref="F135:I135" si="95">F112*F39*F41*F45</f>
        <v>1497222.222</v>
      </c>
      <c r="G135" s="21">
        <f t="shared" si="95"/>
        <v>827904</v>
      </c>
      <c r="H135" s="21">
        <f t="shared" si="95"/>
        <v>827904</v>
      </c>
      <c r="I135" s="21">
        <f t="shared" si="95"/>
        <v>5053125</v>
      </c>
    </row>
    <row r="136" ht="15.75" customHeight="1" outlineLevel="1">
      <c r="A136" s="23" t="s">
        <v>322</v>
      </c>
      <c r="B136" s="29" t="s">
        <v>319</v>
      </c>
      <c r="C136" s="6" t="s">
        <v>63</v>
      </c>
      <c r="D136" s="32" t="s">
        <v>67</v>
      </c>
      <c r="E136" s="21"/>
      <c r="F136" s="21">
        <f t="shared" ref="F136:I136" si="96">F113*F40*F42*F46</f>
        <v>0</v>
      </c>
      <c r="G136" s="21">
        <f t="shared" si="96"/>
        <v>0</v>
      </c>
      <c r="H136" s="21">
        <f t="shared" si="96"/>
        <v>0</v>
      </c>
      <c r="I136" s="21">
        <f t="shared" si="96"/>
        <v>0</v>
      </c>
    </row>
    <row r="137" ht="15.75" customHeight="1" outlineLevel="1">
      <c r="A137" s="23" t="s">
        <v>323</v>
      </c>
      <c r="B137" s="29"/>
      <c r="C137" s="6" t="s">
        <v>63</v>
      </c>
      <c r="D137" s="32" t="s">
        <v>67</v>
      </c>
      <c r="E137" s="21"/>
      <c r="F137" s="21">
        <f t="shared" ref="F137:I137" si="97">F136+F135</f>
        <v>1497222.222</v>
      </c>
      <c r="G137" s="21">
        <f t="shared" si="97"/>
        <v>827904</v>
      </c>
      <c r="H137" s="21">
        <f t="shared" si="97"/>
        <v>827904</v>
      </c>
      <c r="I137" s="21">
        <f t="shared" si="97"/>
        <v>5053125</v>
      </c>
    </row>
    <row r="138" ht="15.75" customHeight="1" outlineLevel="1">
      <c r="A138" s="23" t="s">
        <v>324</v>
      </c>
      <c r="B138" s="29" t="s">
        <v>325</v>
      </c>
      <c r="C138" s="6" t="s">
        <v>63</v>
      </c>
      <c r="D138" s="32" t="s">
        <v>67</v>
      </c>
      <c r="E138" s="21"/>
      <c r="F138" s="21">
        <f t="shared" ref="F138:I138" si="98">F102*F117</f>
        <v>211795.5651</v>
      </c>
      <c r="G138" s="21">
        <f t="shared" si="98"/>
        <v>55.58362809</v>
      </c>
      <c r="H138" s="21">
        <f t="shared" si="98"/>
        <v>9.325385346</v>
      </c>
      <c r="I138" s="21">
        <f t="shared" si="98"/>
        <v>3473976.756</v>
      </c>
    </row>
    <row r="139" ht="15.75" customHeight="1" outlineLevel="1">
      <c r="A139" s="23" t="s">
        <v>326</v>
      </c>
      <c r="B139" s="29" t="s">
        <v>325</v>
      </c>
      <c r="C139" s="6" t="s">
        <v>63</v>
      </c>
      <c r="D139" s="32" t="s">
        <v>67</v>
      </c>
      <c r="E139" s="21"/>
      <c r="F139" s="21">
        <f t="shared" ref="F139:I139" si="99">F102*F118</f>
        <v>421088.0916</v>
      </c>
      <c r="G139" s="21">
        <f t="shared" si="99"/>
        <v>421088.0916</v>
      </c>
      <c r="H139" s="21">
        <f t="shared" si="99"/>
        <v>421088.0916</v>
      </c>
      <c r="I139" s="21">
        <f t="shared" si="99"/>
        <v>421088.0916</v>
      </c>
    </row>
    <row r="140" ht="15.75" customHeight="1" outlineLevel="1">
      <c r="A140" s="23" t="s">
        <v>327</v>
      </c>
      <c r="B140" s="29"/>
      <c r="C140" s="6" t="s">
        <v>63</v>
      </c>
      <c r="D140" s="32" t="s">
        <v>67</v>
      </c>
      <c r="E140" s="21"/>
      <c r="F140" s="21">
        <f t="shared" ref="F140:I140" si="100">F139+F138</f>
        <v>632883.6567</v>
      </c>
      <c r="G140" s="21">
        <f t="shared" si="100"/>
        <v>421143.6753</v>
      </c>
      <c r="H140" s="21">
        <f t="shared" si="100"/>
        <v>421097.417</v>
      </c>
      <c r="I140" s="21">
        <f t="shared" si="100"/>
        <v>3895064.848</v>
      </c>
    </row>
    <row r="141" ht="15.75" customHeight="1" outlineLevel="1">
      <c r="A141" s="6" t="s">
        <v>328</v>
      </c>
      <c r="B141" s="29" t="s">
        <v>325</v>
      </c>
      <c r="C141" s="6" t="s">
        <v>63</v>
      </c>
      <c r="D141" s="32" t="s">
        <v>67</v>
      </c>
      <c r="E141" s="21"/>
      <c r="F141" s="21">
        <f t="shared" ref="F141:I141" si="101">F102*F119</f>
        <v>5703703.704</v>
      </c>
      <c r="G141" s="21">
        <f t="shared" si="101"/>
        <v>3153920</v>
      </c>
      <c r="H141" s="21">
        <f t="shared" si="101"/>
        <v>3153920</v>
      </c>
      <c r="I141" s="21">
        <f t="shared" si="101"/>
        <v>19250000</v>
      </c>
    </row>
    <row r="142" ht="15.75" customHeight="1" outlineLevel="1">
      <c r="A142" s="23" t="s">
        <v>329</v>
      </c>
      <c r="B142" s="29"/>
      <c r="C142" s="23" t="s">
        <v>63</v>
      </c>
      <c r="D142" s="32" t="s">
        <v>67</v>
      </c>
      <c r="E142" s="21"/>
      <c r="F142" s="21">
        <f t="shared" ref="F142:I142" si="102">SUM(F18:F20)*F17*F13/F148</f>
        <v>1458333.333</v>
      </c>
      <c r="G142" s="21">
        <f t="shared" si="102"/>
        <v>846774.1935</v>
      </c>
      <c r="H142" s="21">
        <f t="shared" si="102"/>
        <v>13125000</v>
      </c>
      <c r="I142" s="21">
        <f t="shared" si="102"/>
        <v>26250000</v>
      </c>
    </row>
    <row r="143" ht="15.75" customHeight="1" outlineLevel="1">
      <c r="A143" s="23" t="s">
        <v>61</v>
      </c>
      <c r="B143" s="29" t="s">
        <v>62</v>
      </c>
      <c r="C143" s="23" t="s">
        <v>63</v>
      </c>
      <c r="D143" s="32" t="s">
        <v>67</v>
      </c>
      <c r="E143" s="21"/>
      <c r="F143" s="21">
        <f t="shared" ref="F143:I143" si="103">F21</f>
        <v>250000</v>
      </c>
      <c r="G143" s="21">
        <f t="shared" si="103"/>
        <v>250000</v>
      </c>
      <c r="H143" s="21">
        <f t="shared" si="103"/>
        <v>250000</v>
      </c>
      <c r="I143" s="21">
        <f t="shared" si="103"/>
        <v>250000</v>
      </c>
    </row>
    <row r="144" ht="15.75" customHeight="1" outlineLevel="1">
      <c r="A144" s="23" t="s">
        <v>330</v>
      </c>
      <c r="B144" s="29" t="s">
        <v>331</v>
      </c>
      <c r="C144" s="23" t="s">
        <v>63</v>
      </c>
      <c r="D144" s="32" t="s">
        <v>67</v>
      </c>
      <c r="E144" s="21"/>
      <c r="F144" s="21">
        <f t="shared" ref="F144:I144" si="104">SUM(F143,F142,F141,F140,F137,F131)</f>
        <v>63945541.63</v>
      </c>
      <c r="G144" s="21">
        <f t="shared" si="104"/>
        <v>7119785.501</v>
      </c>
      <c r="H144" s="21">
        <f t="shared" si="104"/>
        <v>30294093.41</v>
      </c>
      <c r="I144" s="21">
        <f t="shared" si="104"/>
        <v>190507715.5</v>
      </c>
    </row>
    <row r="145" ht="15.75" customHeight="1">
      <c r="A145" s="104"/>
      <c r="B145" s="105"/>
      <c r="C145" s="106"/>
      <c r="D145" s="105"/>
      <c r="E145" s="107"/>
      <c r="F145" s="107"/>
      <c r="G145" s="107"/>
      <c r="H145" s="107"/>
      <c r="I145" s="107"/>
      <c r="J145" s="105"/>
      <c r="K145" s="105"/>
      <c r="L145" s="105"/>
      <c r="M145" s="105"/>
      <c r="N145" s="105"/>
      <c r="O145" s="105"/>
      <c r="P145" s="105"/>
      <c r="Q145" s="105"/>
      <c r="R145" s="105"/>
      <c r="S145" s="105"/>
      <c r="T145" s="105"/>
      <c r="U145" s="105"/>
      <c r="V145" s="105"/>
      <c r="W145" s="105"/>
      <c r="X145" s="105"/>
      <c r="Y145" s="105"/>
      <c r="Z145" s="105"/>
      <c r="AA145" s="105"/>
      <c r="AB145" s="105"/>
    </row>
    <row r="146" ht="15.75" customHeight="1">
      <c r="A146" s="104" t="s">
        <v>332</v>
      </c>
      <c r="B146" s="105"/>
      <c r="C146" s="106"/>
      <c r="D146" s="105"/>
      <c r="E146" s="107"/>
      <c r="F146" s="107"/>
      <c r="G146" s="107"/>
      <c r="H146" s="107"/>
      <c r="I146" s="107"/>
      <c r="J146" s="105"/>
      <c r="K146" s="105"/>
      <c r="L146" s="105"/>
      <c r="M146" s="105"/>
      <c r="N146" s="105"/>
      <c r="O146" s="105"/>
      <c r="P146" s="105"/>
      <c r="Q146" s="105"/>
      <c r="R146" s="105"/>
      <c r="S146" s="105"/>
      <c r="T146" s="105"/>
      <c r="U146" s="105"/>
      <c r="V146" s="105"/>
      <c r="W146" s="105"/>
      <c r="X146" s="105"/>
      <c r="Y146" s="105"/>
      <c r="Z146" s="105"/>
      <c r="AA146" s="105"/>
      <c r="AB146" s="105"/>
    </row>
    <row r="147" ht="15.75" customHeight="1">
      <c r="A147" s="23" t="s">
        <v>333</v>
      </c>
      <c r="B147" s="29"/>
      <c r="C147" s="23" t="s">
        <v>40</v>
      </c>
      <c r="D147" s="32" t="s">
        <v>67</v>
      </c>
      <c r="F147" s="15">
        <f t="shared" ref="F147:I147" si="105">F13</f>
        <v>5</v>
      </c>
      <c r="G147" s="15">
        <f t="shared" si="105"/>
        <v>5</v>
      </c>
      <c r="H147" s="15">
        <f t="shared" si="105"/>
        <v>5</v>
      </c>
      <c r="I147" s="15">
        <f t="shared" si="105"/>
        <v>5</v>
      </c>
    </row>
    <row r="148" ht="15.75" customHeight="1">
      <c r="A148" s="23" t="s">
        <v>334</v>
      </c>
      <c r="B148" s="29"/>
      <c r="C148" s="23" t="s">
        <v>35</v>
      </c>
      <c r="D148" s="32" t="s">
        <v>67</v>
      </c>
      <c r="F148" s="6">
        <f t="shared" ref="F148:I148" si="106">ROUND(F13/MAX(F151:F154),0)</f>
        <v>18</v>
      </c>
      <c r="G148" s="6">
        <f t="shared" si="106"/>
        <v>31</v>
      </c>
      <c r="H148" s="6">
        <f t="shared" si="106"/>
        <v>2</v>
      </c>
      <c r="I148" s="6">
        <f t="shared" si="106"/>
        <v>1</v>
      </c>
    </row>
    <row r="149" ht="15.75" customHeight="1">
      <c r="A149" s="23" t="s">
        <v>335</v>
      </c>
      <c r="B149" s="29"/>
      <c r="C149" s="23" t="s">
        <v>46</v>
      </c>
      <c r="D149" s="32" t="s">
        <v>67</v>
      </c>
      <c r="F149" s="22">
        <f t="shared" ref="F149:I149" si="107">F164*F148</f>
        <v>1352664513</v>
      </c>
      <c r="G149" s="22">
        <f t="shared" si="107"/>
        <v>332227189.1</v>
      </c>
      <c r="H149" s="22">
        <f t="shared" si="107"/>
        <v>175184413.4</v>
      </c>
      <c r="I149" s="22">
        <f t="shared" si="107"/>
        <v>535876758.6</v>
      </c>
    </row>
    <row r="150" ht="15.75" customHeight="1">
      <c r="A150" s="108" t="s">
        <v>336</v>
      </c>
      <c r="B150" s="105"/>
      <c r="C150" s="106"/>
      <c r="D150" s="105"/>
      <c r="E150" s="107"/>
      <c r="F150" s="107"/>
      <c r="G150" s="107"/>
      <c r="H150" s="107"/>
      <c r="I150" s="107"/>
      <c r="J150" s="105"/>
      <c r="K150" s="105"/>
      <c r="L150" s="105"/>
      <c r="M150" s="105"/>
      <c r="N150" s="105"/>
      <c r="O150" s="105"/>
      <c r="P150" s="105"/>
      <c r="Q150" s="105"/>
      <c r="R150" s="105"/>
      <c r="S150" s="105"/>
      <c r="T150" s="105"/>
      <c r="U150" s="105"/>
      <c r="V150" s="105"/>
      <c r="W150" s="105"/>
      <c r="X150" s="105"/>
      <c r="Y150" s="105"/>
      <c r="Z150" s="105"/>
      <c r="AA150" s="105"/>
      <c r="AB150" s="105"/>
    </row>
    <row r="151" ht="15.75" customHeight="1">
      <c r="A151" s="23" t="s">
        <v>337</v>
      </c>
      <c r="B151" s="29"/>
      <c r="C151" s="23" t="s">
        <v>40</v>
      </c>
      <c r="D151" s="32" t="s">
        <v>67</v>
      </c>
      <c r="E151" s="54"/>
      <c r="F151" s="17">
        <f t="shared" ref="F151:I151" si="108">F121/365</f>
        <v>0.2707635196</v>
      </c>
      <c r="G151" s="17">
        <f t="shared" si="108"/>
        <v>0.04975477761</v>
      </c>
      <c r="H151" s="17">
        <f t="shared" si="108"/>
        <v>2.63876205</v>
      </c>
      <c r="I151" s="17">
        <f t="shared" si="108"/>
        <v>7.017250127</v>
      </c>
    </row>
    <row r="152" ht="15.75" customHeight="1">
      <c r="A152" s="23" t="s">
        <v>338</v>
      </c>
      <c r="B152" s="29"/>
      <c r="C152" s="23" t="s">
        <v>40</v>
      </c>
      <c r="D152" s="32" t="s">
        <v>67</v>
      </c>
      <c r="E152" s="54"/>
      <c r="F152" s="17">
        <f t="shared" ref="F152:I152" si="109">F124/365</f>
        <v>0.06112530785</v>
      </c>
      <c r="G152" s="17">
        <f t="shared" si="109"/>
        <v>0.02405231197</v>
      </c>
      <c r="H152" s="17">
        <f t="shared" si="109"/>
        <v>0.02403766181</v>
      </c>
      <c r="I152" s="17">
        <f t="shared" si="109"/>
        <v>0.2042950216</v>
      </c>
    </row>
    <row r="153" ht="15.75" customHeight="1">
      <c r="A153" s="23" t="s">
        <v>339</v>
      </c>
      <c r="B153" s="29"/>
      <c r="C153" s="23" t="s">
        <v>40</v>
      </c>
      <c r="D153" s="32" t="s">
        <v>67</v>
      </c>
      <c r="E153" s="54"/>
      <c r="F153" s="17">
        <f t="shared" ref="F153:I153" si="110">F125/365</f>
        <v>0.1598173516</v>
      </c>
      <c r="G153" s="17">
        <f t="shared" si="110"/>
        <v>0.1598173516</v>
      </c>
      <c r="H153" s="17">
        <f t="shared" si="110"/>
        <v>0.1598173516</v>
      </c>
      <c r="I153" s="17">
        <f t="shared" si="110"/>
        <v>0.1598173516</v>
      </c>
    </row>
    <row r="154" ht="15.75" customHeight="1">
      <c r="A154" s="23" t="s">
        <v>340</v>
      </c>
      <c r="B154" s="29"/>
      <c r="C154" s="23" t="s">
        <v>40</v>
      </c>
      <c r="D154" s="32" t="s">
        <v>67</v>
      </c>
      <c r="E154" s="54"/>
      <c r="F154" s="17">
        <f t="shared" ref="F154:I154" si="111">SUM(F151:F153)*F7</f>
        <v>0.09834123581</v>
      </c>
      <c r="G154" s="17">
        <f t="shared" si="111"/>
        <v>0.04672488824</v>
      </c>
      <c r="H154" s="17">
        <f t="shared" si="111"/>
        <v>0.5645234126</v>
      </c>
      <c r="I154" s="17">
        <f t="shared" si="111"/>
        <v>1.4762725</v>
      </c>
    </row>
    <row r="155" ht="15.75" customHeight="1">
      <c r="A155" s="23" t="s">
        <v>341</v>
      </c>
      <c r="B155" s="29"/>
      <c r="C155" s="23" t="s">
        <v>40</v>
      </c>
      <c r="D155" s="32" t="s">
        <v>67</v>
      </c>
      <c r="F155" s="17">
        <f t="shared" ref="F155:I155" si="112">SUM(F151:F154)</f>
        <v>0.5900474148</v>
      </c>
      <c r="G155" s="17">
        <f t="shared" si="112"/>
        <v>0.2803493294</v>
      </c>
      <c r="H155" s="17">
        <f t="shared" si="112"/>
        <v>3.387140476</v>
      </c>
      <c r="I155" s="17">
        <f t="shared" si="112"/>
        <v>8.857635</v>
      </c>
    </row>
    <row r="156" ht="15.75" customHeight="1">
      <c r="A156" s="23" t="s">
        <v>342</v>
      </c>
      <c r="B156" s="29"/>
      <c r="C156" s="23" t="s">
        <v>40</v>
      </c>
      <c r="D156" s="32" t="s">
        <v>67</v>
      </c>
      <c r="F156" s="17">
        <f t="shared" ref="F156:I156" si="113">Max(F151:F153)</f>
        <v>0.2707635196</v>
      </c>
      <c r="G156" s="17">
        <f t="shared" si="113"/>
        <v>0.1598173516</v>
      </c>
      <c r="H156" s="17">
        <f t="shared" si="113"/>
        <v>2.63876205</v>
      </c>
      <c r="I156" s="17">
        <f t="shared" si="113"/>
        <v>7.017250127</v>
      </c>
    </row>
    <row r="157" ht="15.75" customHeight="1">
      <c r="A157" s="28" t="s">
        <v>343</v>
      </c>
      <c r="B157" s="29"/>
      <c r="D157" s="29"/>
    </row>
    <row r="158" ht="15.75" customHeight="1">
      <c r="A158" s="23" t="s">
        <v>344</v>
      </c>
      <c r="B158" s="29"/>
      <c r="C158" s="23" t="s">
        <v>46</v>
      </c>
      <c r="D158" s="32" t="s">
        <v>67</v>
      </c>
      <c r="E158" s="22"/>
      <c r="F158" s="22">
        <f t="shared" ref="F158:I158" si="114">IF(F$148-1&gt;0,(F167+F176*(F$148-1))/F$148,F167)</f>
        <v>57458954.27</v>
      </c>
      <c r="G158" s="22">
        <f t="shared" si="114"/>
        <v>3394237.181</v>
      </c>
      <c r="H158" s="22">
        <f t="shared" si="114"/>
        <v>40016171.99</v>
      </c>
      <c r="I158" s="22">
        <f t="shared" si="114"/>
        <v>190809525.6</v>
      </c>
    </row>
    <row r="159" ht="15.75" customHeight="1">
      <c r="A159" s="23" t="s">
        <v>345</v>
      </c>
      <c r="B159" s="29"/>
      <c r="C159" s="23" t="s">
        <v>46</v>
      </c>
      <c r="D159" s="32" t="s">
        <v>67</v>
      </c>
      <c r="E159" s="22"/>
      <c r="F159" s="22">
        <f t="shared" ref="F159:I159" si="115">IF(F$148-1&gt;0,(F168+F177*(F$148-1))/F$148,F168)</f>
        <v>4777983.539</v>
      </c>
      <c r="G159" s="22">
        <f t="shared" si="115"/>
        <v>1881269.677</v>
      </c>
      <c r="H159" s="22">
        <f t="shared" si="115"/>
        <v>17155072</v>
      </c>
      <c r="I159" s="22">
        <f t="shared" si="115"/>
        <v>204359375</v>
      </c>
    </row>
    <row r="160" ht="15.75" customHeight="1">
      <c r="A160" s="23" t="s">
        <v>346</v>
      </c>
      <c r="B160" s="29"/>
      <c r="C160" s="23" t="s">
        <v>46</v>
      </c>
      <c r="D160" s="32" t="s">
        <v>67</v>
      </c>
      <c r="E160" s="22"/>
      <c r="F160" s="22">
        <f t="shared" ref="F160:I160" si="116">IF(F$148-1&gt;0,(F169+F178*(F$148-1))/F$148,F169)</f>
        <v>743994.7678</v>
      </c>
      <c r="G160" s="22">
        <f t="shared" si="116"/>
        <v>485659.8043</v>
      </c>
      <c r="H160" s="22">
        <f t="shared" si="116"/>
        <v>1421097.417</v>
      </c>
      <c r="I160" s="22">
        <f t="shared" si="116"/>
        <v>5895064.848</v>
      </c>
    </row>
    <row r="161" ht="15.75" customHeight="1">
      <c r="A161" s="23" t="s">
        <v>347</v>
      </c>
      <c r="B161" s="29"/>
      <c r="C161" s="23" t="s">
        <v>46</v>
      </c>
      <c r="D161" s="32" t="s">
        <v>67</v>
      </c>
      <c r="E161" s="22"/>
      <c r="F161" s="22">
        <f t="shared" ref="F161:I161" si="117">IF(F$148-1&gt;0,(F170+F179*(F$148-1))/F$148,F170)</f>
        <v>5703703.704</v>
      </c>
      <c r="G161" s="22">
        <f t="shared" si="117"/>
        <v>3153920</v>
      </c>
      <c r="H161" s="22">
        <f t="shared" si="117"/>
        <v>3153920</v>
      </c>
      <c r="I161" s="22">
        <f t="shared" si="117"/>
        <v>19250000</v>
      </c>
    </row>
    <row r="162" ht="15.75" customHeight="1">
      <c r="A162" s="23" t="s">
        <v>348</v>
      </c>
      <c r="B162" s="29"/>
      <c r="C162" s="23" t="s">
        <v>46</v>
      </c>
      <c r="D162" s="32" t="s">
        <v>67</v>
      </c>
      <c r="E162" s="22"/>
      <c r="F162" s="22">
        <f t="shared" ref="F162:I162" si="118">IF(F$148-1&gt;0,(F171+F180*(F$148-1))/F$148,F171)</f>
        <v>1458333.333</v>
      </c>
      <c r="G162" s="22">
        <f t="shared" si="118"/>
        <v>846774.1935</v>
      </c>
      <c r="H162" s="22">
        <f t="shared" si="118"/>
        <v>13125000</v>
      </c>
      <c r="I162" s="22">
        <f t="shared" si="118"/>
        <v>26250000</v>
      </c>
    </row>
    <row r="163" ht="15.75" customHeight="1">
      <c r="A163" s="23" t="s">
        <v>349</v>
      </c>
      <c r="B163" s="29"/>
      <c r="C163" s="23" t="s">
        <v>46</v>
      </c>
      <c r="D163" s="32" t="s">
        <v>67</v>
      </c>
      <c r="E163" s="22"/>
      <c r="F163" s="22">
        <f t="shared" ref="F163:I163" si="119">IF(F$148-1&gt;0,(F172+F181*(F$148-1))/F$148,F172)</f>
        <v>5005058.859</v>
      </c>
      <c r="G163" s="22">
        <f t="shared" si="119"/>
        <v>955145.2436</v>
      </c>
      <c r="H163" s="22">
        <f t="shared" si="119"/>
        <v>12720945.28</v>
      </c>
      <c r="I163" s="22">
        <f t="shared" si="119"/>
        <v>89312793.09</v>
      </c>
    </row>
    <row r="164" ht="15.75" customHeight="1">
      <c r="A164" s="23" t="s">
        <v>350</v>
      </c>
      <c r="B164" s="29"/>
      <c r="C164" s="23" t="s">
        <v>46</v>
      </c>
      <c r="D164" s="32" t="s">
        <v>67</v>
      </c>
      <c r="E164" s="22"/>
      <c r="F164" s="22">
        <f t="shared" ref="F164:I164" si="120">IF(F$148-1&gt;0,(F173+F182*(F$148-1))/F$148,F173)</f>
        <v>75148028.47</v>
      </c>
      <c r="G164" s="22">
        <f t="shared" si="120"/>
        <v>10717006.1</v>
      </c>
      <c r="H164" s="22">
        <f t="shared" si="120"/>
        <v>87592206.69</v>
      </c>
      <c r="I164" s="22">
        <f t="shared" si="120"/>
        <v>535876758.6</v>
      </c>
    </row>
    <row r="165" ht="15.75" customHeight="1">
      <c r="A165" s="23" t="s">
        <v>351</v>
      </c>
      <c r="B165" s="29"/>
      <c r="C165" s="23" t="s">
        <v>352</v>
      </c>
      <c r="D165" s="32" t="s">
        <v>67</v>
      </c>
      <c r="E165" s="22"/>
      <c r="F165" s="19">
        <f t="shared" ref="F165:I165" si="121">IF(F$148-1&gt;0,(F174+F183*(F$148-1))/F$148,F174)</f>
        <v>1.073543264</v>
      </c>
      <c r="G165" s="19">
        <f t="shared" si="121"/>
        <v>0.1531000871</v>
      </c>
      <c r="H165" s="19">
        <f t="shared" si="121"/>
        <v>1.251317238</v>
      </c>
      <c r="I165" s="19">
        <f t="shared" si="121"/>
        <v>7.655382265</v>
      </c>
    </row>
    <row r="166" ht="15.75" customHeight="1">
      <c r="A166" s="28" t="s">
        <v>353</v>
      </c>
      <c r="B166" s="29"/>
      <c r="D166" s="29"/>
    </row>
    <row r="167" ht="15.75" customHeight="1">
      <c r="A167" s="23" t="s">
        <v>344</v>
      </c>
      <c r="B167" s="29"/>
      <c r="C167" s="23" t="s">
        <v>46</v>
      </c>
      <c r="D167" s="32" t="s">
        <v>67</v>
      </c>
      <c r="F167" s="21">
        <f t="shared" ref="F167:I167" si="122">F23+F131</f>
        <v>109403398.7</v>
      </c>
      <c r="G167" s="21">
        <f t="shared" si="122"/>
        <v>56620043.63</v>
      </c>
      <c r="H167" s="21">
        <f t="shared" si="122"/>
        <v>67516171.99</v>
      </c>
      <c r="I167" s="21">
        <f t="shared" si="122"/>
        <v>190809525.6</v>
      </c>
    </row>
    <row r="168" ht="15.75" customHeight="1">
      <c r="A168" s="23" t="s">
        <v>345</v>
      </c>
      <c r="B168" s="29"/>
      <c r="C168" s="23" t="s">
        <v>46</v>
      </c>
      <c r="D168" s="32" t="s">
        <v>67</v>
      </c>
      <c r="F168" s="21">
        <f t="shared" ref="F168:I168" si="123">F134</f>
        <v>60550925.93</v>
      </c>
      <c r="G168" s="21">
        <f t="shared" si="123"/>
        <v>33482240</v>
      </c>
      <c r="H168" s="21">
        <f t="shared" si="123"/>
        <v>33482240</v>
      </c>
      <c r="I168" s="21">
        <f t="shared" si="123"/>
        <v>204359375</v>
      </c>
    </row>
    <row r="169" ht="15.75" customHeight="1">
      <c r="A169" s="23" t="s">
        <v>346</v>
      </c>
      <c r="B169" s="29"/>
      <c r="C169" s="23" t="s">
        <v>46</v>
      </c>
      <c r="D169" s="32" t="s">
        <v>67</v>
      </c>
      <c r="F169" s="21">
        <f t="shared" ref="F169:I169" si="124">F140+F24</f>
        <v>2632883.657</v>
      </c>
      <c r="G169" s="21">
        <f t="shared" si="124"/>
        <v>2421143.675</v>
      </c>
      <c r="H169" s="21">
        <f t="shared" si="124"/>
        <v>2421097.417</v>
      </c>
      <c r="I169" s="21">
        <f t="shared" si="124"/>
        <v>5895064.848</v>
      </c>
    </row>
    <row r="170" ht="15.75" customHeight="1">
      <c r="A170" s="23" t="s">
        <v>347</v>
      </c>
      <c r="B170" s="29"/>
      <c r="C170" s="23" t="s">
        <v>46</v>
      </c>
      <c r="D170" s="32" t="s">
        <v>67</v>
      </c>
      <c r="F170" s="21">
        <f t="shared" ref="F170:I170" si="125">F141</f>
        <v>5703703.704</v>
      </c>
      <c r="G170" s="21">
        <f t="shared" si="125"/>
        <v>3153920</v>
      </c>
      <c r="H170" s="21">
        <f t="shared" si="125"/>
        <v>3153920</v>
      </c>
      <c r="I170" s="21">
        <f t="shared" si="125"/>
        <v>19250000</v>
      </c>
    </row>
    <row r="171" ht="15.75" customHeight="1">
      <c r="A171" s="23" t="s">
        <v>348</v>
      </c>
      <c r="B171" s="29"/>
      <c r="C171" s="23" t="s">
        <v>46</v>
      </c>
      <c r="D171" s="32" t="s">
        <v>67</v>
      </c>
      <c r="F171" s="21">
        <f t="shared" ref="F171:I171" si="126">F142</f>
        <v>1458333.333</v>
      </c>
      <c r="G171" s="21">
        <f t="shared" si="126"/>
        <v>846774.1935</v>
      </c>
      <c r="H171" s="21">
        <f t="shared" si="126"/>
        <v>13125000</v>
      </c>
      <c r="I171" s="21">
        <f t="shared" si="126"/>
        <v>26250000</v>
      </c>
    </row>
    <row r="172" ht="15.75" customHeight="1">
      <c r="A172" s="23" t="s">
        <v>349</v>
      </c>
      <c r="B172" s="29"/>
      <c r="C172" s="23" t="s">
        <v>46</v>
      </c>
      <c r="D172" s="32" t="s">
        <v>67</v>
      </c>
      <c r="E172" s="22"/>
      <c r="F172" s="22">
        <f t="shared" ref="F172:I172" si="127">SUM(F167:F171)*F7</f>
        <v>35949849.07</v>
      </c>
      <c r="G172" s="22">
        <f t="shared" si="127"/>
        <v>19304824.3</v>
      </c>
      <c r="H172" s="22">
        <f t="shared" si="127"/>
        <v>23939685.88</v>
      </c>
      <c r="I172" s="22">
        <f t="shared" si="127"/>
        <v>89312793.09</v>
      </c>
    </row>
    <row r="173" ht="15.75" customHeight="1">
      <c r="A173" s="23" t="s">
        <v>350</v>
      </c>
      <c r="B173" s="29"/>
      <c r="C173" s="23" t="s">
        <v>46</v>
      </c>
      <c r="D173" s="32" t="s">
        <v>67</v>
      </c>
      <c r="F173" s="21">
        <f t="shared" ref="F173:I173" si="128">SUM(F167:F172)</f>
        <v>215699094.4</v>
      </c>
      <c r="G173" s="21">
        <f t="shared" si="128"/>
        <v>115828945.8</v>
      </c>
      <c r="H173" s="21">
        <f t="shared" si="128"/>
        <v>143638115.3</v>
      </c>
      <c r="I173" s="21">
        <f t="shared" si="128"/>
        <v>535876758.6</v>
      </c>
    </row>
    <row r="174" ht="15.75" customHeight="1">
      <c r="A174" s="23" t="s">
        <v>354</v>
      </c>
      <c r="B174" s="29"/>
      <c r="C174" s="23" t="s">
        <v>352</v>
      </c>
      <c r="D174" s="32" t="s">
        <v>67</v>
      </c>
      <c r="E174" s="19"/>
      <c r="F174" s="19">
        <f t="shared" ref="F174:I174" si="129">F173/F$10</f>
        <v>3.081415634</v>
      </c>
      <c r="G174" s="19">
        <f t="shared" si="129"/>
        <v>1.654699226</v>
      </c>
      <c r="H174" s="19">
        <f t="shared" si="129"/>
        <v>2.051973076</v>
      </c>
      <c r="I174" s="19">
        <f t="shared" si="129"/>
        <v>7.655382265</v>
      </c>
    </row>
    <row r="175" ht="15.75" customHeight="1">
      <c r="A175" s="28" t="s">
        <v>355</v>
      </c>
      <c r="B175" s="29"/>
      <c r="D175" s="30"/>
    </row>
    <row r="176" ht="15.75" customHeight="1">
      <c r="A176" s="23" t="s">
        <v>344</v>
      </c>
      <c r="B176" s="29"/>
      <c r="C176" s="23" t="s">
        <v>46</v>
      </c>
      <c r="D176" s="32" t="s">
        <v>67</v>
      </c>
      <c r="F176" s="21">
        <f t="shared" ref="F176:I176" si="130">F131</f>
        <v>54403398.72</v>
      </c>
      <c r="G176" s="21">
        <f t="shared" si="130"/>
        <v>1620043.633</v>
      </c>
      <c r="H176" s="21">
        <f t="shared" si="130"/>
        <v>12516171.99</v>
      </c>
      <c r="I176" s="21">
        <f t="shared" si="130"/>
        <v>135809525.6</v>
      </c>
    </row>
    <row r="177" ht="15.75" customHeight="1">
      <c r="A177" s="23" t="s">
        <v>345</v>
      </c>
      <c r="B177" s="29"/>
      <c r="C177" s="23" t="s">
        <v>46</v>
      </c>
      <c r="D177" s="32" t="s">
        <v>67</v>
      </c>
      <c r="F177" s="21">
        <f t="shared" ref="F177:I177" si="131">F137</f>
        <v>1497222.222</v>
      </c>
      <c r="G177" s="21">
        <f t="shared" si="131"/>
        <v>827904</v>
      </c>
      <c r="H177" s="21">
        <f t="shared" si="131"/>
        <v>827904</v>
      </c>
      <c r="I177" s="21">
        <f t="shared" si="131"/>
        <v>5053125</v>
      </c>
    </row>
    <row r="178" ht="15.75" customHeight="1">
      <c r="A178" s="23" t="s">
        <v>346</v>
      </c>
      <c r="B178" s="29"/>
      <c r="C178" s="23" t="s">
        <v>46</v>
      </c>
      <c r="D178" s="32" t="s">
        <v>67</v>
      </c>
      <c r="F178" s="21">
        <f t="shared" ref="F178:I178" si="132">F140</f>
        <v>632883.6567</v>
      </c>
      <c r="G178" s="21">
        <f t="shared" si="132"/>
        <v>421143.6753</v>
      </c>
      <c r="H178" s="21">
        <f t="shared" si="132"/>
        <v>421097.417</v>
      </c>
      <c r="I178" s="21">
        <f t="shared" si="132"/>
        <v>3895064.848</v>
      </c>
    </row>
    <row r="179" ht="15.75" customHeight="1">
      <c r="A179" s="23" t="s">
        <v>347</v>
      </c>
      <c r="B179" s="29"/>
      <c r="C179" s="23" t="s">
        <v>46</v>
      </c>
      <c r="D179" s="32" t="s">
        <v>67</v>
      </c>
      <c r="F179" s="21">
        <f t="shared" ref="F179:I179" si="133">F141</f>
        <v>5703703.704</v>
      </c>
      <c r="G179" s="21">
        <f t="shared" si="133"/>
        <v>3153920</v>
      </c>
      <c r="H179" s="21">
        <f t="shared" si="133"/>
        <v>3153920</v>
      </c>
      <c r="I179" s="21">
        <f t="shared" si="133"/>
        <v>19250000</v>
      </c>
    </row>
    <row r="180" ht="15.75" customHeight="1">
      <c r="A180" s="23" t="s">
        <v>348</v>
      </c>
      <c r="B180" s="29"/>
      <c r="C180" s="23" t="s">
        <v>46</v>
      </c>
      <c r="D180" s="32" t="s">
        <v>67</v>
      </c>
      <c r="F180" s="21">
        <f t="shared" ref="F180:I180" si="134">F142</f>
        <v>1458333.333</v>
      </c>
      <c r="G180" s="21">
        <f t="shared" si="134"/>
        <v>846774.1935</v>
      </c>
      <c r="H180" s="21">
        <f t="shared" si="134"/>
        <v>13125000</v>
      </c>
      <c r="I180" s="21">
        <f t="shared" si="134"/>
        <v>26250000</v>
      </c>
    </row>
    <row r="181" ht="15.75" customHeight="1">
      <c r="A181" s="23" t="s">
        <v>349</v>
      </c>
      <c r="B181" s="29"/>
      <c r="C181" s="23" t="s">
        <v>46</v>
      </c>
      <c r="D181" s="32" t="s">
        <v>67</v>
      </c>
      <c r="E181" s="22"/>
      <c r="F181" s="22">
        <f t="shared" ref="F181:I181" si="135">SUM(F176:F180)*F8</f>
        <v>3184777.082</v>
      </c>
      <c r="G181" s="22">
        <f t="shared" si="135"/>
        <v>343489.2751</v>
      </c>
      <c r="H181" s="22">
        <f t="shared" si="135"/>
        <v>1502204.671</v>
      </c>
      <c r="I181" s="22">
        <f t="shared" si="135"/>
        <v>9512885.773</v>
      </c>
      <c r="J181" s="22">
        <f>SUM(J176:J179)*J8</f>
        <v>0</v>
      </c>
    </row>
    <row r="182" ht="15.75" customHeight="1">
      <c r="A182" s="23" t="s">
        <v>350</v>
      </c>
      <c r="B182" s="29"/>
      <c r="C182" s="23" t="s">
        <v>46</v>
      </c>
      <c r="D182" s="32" t="s">
        <v>67</v>
      </c>
      <c r="F182" s="21">
        <f t="shared" ref="F182:I182" si="136">SUM(F176:F181)</f>
        <v>66880318.71</v>
      </c>
      <c r="G182" s="21">
        <f t="shared" si="136"/>
        <v>7213274.777</v>
      </c>
      <c r="H182" s="21">
        <f t="shared" si="136"/>
        <v>31546298.08</v>
      </c>
      <c r="I182" s="21">
        <f t="shared" si="136"/>
        <v>199770601.2</v>
      </c>
    </row>
    <row r="183" ht="15.75" customHeight="1">
      <c r="A183" s="23" t="s">
        <v>351</v>
      </c>
      <c r="B183" s="29"/>
      <c r="C183" s="23" t="s">
        <v>352</v>
      </c>
      <c r="D183" s="32" t="s">
        <v>67</v>
      </c>
      <c r="E183" s="19"/>
      <c r="F183" s="19">
        <f t="shared" ref="F183:I183" si="137">F182/F$10</f>
        <v>0.9554331245</v>
      </c>
      <c r="G183" s="19">
        <f t="shared" si="137"/>
        <v>0.1030467825</v>
      </c>
      <c r="H183" s="19">
        <f t="shared" si="137"/>
        <v>0.4506614012</v>
      </c>
      <c r="I183" s="19">
        <f t="shared" si="137"/>
        <v>2.853865732</v>
      </c>
    </row>
    <row r="184" ht="15.75" customHeight="1">
      <c r="B184" s="29"/>
      <c r="D184" s="29"/>
    </row>
    <row r="185" ht="15.75" customHeight="1">
      <c r="B185" s="29"/>
      <c r="D185" s="29"/>
    </row>
    <row r="186" ht="15.75" customHeight="1">
      <c r="B186" s="29"/>
      <c r="D186" s="29"/>
    </row>
    <row r="187" ht="15.75" customHeight="1">
      <c r="B187" s="29"/>
      <c r="D187" s="29"/>
    </row>
    <row r="188" ht="15.75" customHeight="1">
      <c r="B188" s="29"/>
      <c r="D188" s="29"/>
    </row>
    <row r="189" ht="15.75" customHeight="1">
      <c r="B189" s="29"/>
      <c r="D189" s="29"/>
    </row>
    <row r="190" ht="15.75" customHeight="1">
      <c r="B190" s="29"/>
      <c r="D190" s="29"/>
    </row>
    <row r="191" ht="15.75" customHeight="1">
      <c r="B191" s="29"/>
      <c r="D191" s="29"/>
    </row>
    <row r="192" ht="15.75" customHeight="1">
      <c r="B192" s="29"/>
      <c r="D192" s="29"/>
    </row>
    <row r="193" ht="15.75" customHeight="1">
      <c r="B193" s="29"/>
      <c r="D193" s="29"/>
    </row>
    <row r="194" ht="15.75" customHeight="1">
      <c r="B194" s="29"/>
      <c r="D194" s="29"/>
    </row>
    <row r="195" ht="15.75" customHeight="1">
      <c r="B195" s="29"/>
      <c r="D195" s="29"/>
    </row>
    <row r="196" ht="15.75" customHeight="1">
      <c r="B196" s="29"/>
      <c r="D196" s="29"/>
    </row>
    <row r="197" ht="15.75" customHeight="1">
      <c r="B197" s="29"/>
      <c r="D197" s="29"/>
    </row>
    <row r="198" ht="15.75" customHeight="1">
      <c r="B198" s="29"/>
      <c r="D198" s="29"/>
    </row>
    <row r="199" ht="15.75" customHeight="1">
      <c r="B199" s="29"/>
      <c r="D199" s="29"/>
    </row>
    <row r="200" ht="15.75" customHeight="1">
      <c r="B200" s="29"/>
      <c r="D200" s="29"/>
    </row>
    <row r="201" ht="15.75" customHeight="1">
      <c r="B201" s="29"/>
      <c r="D201" s="29"/>
    </row>
    <row r="202" ht="15.75" customHeight="1">
      <c r="B202" s="29"/>
      <c r="D202" s="29"/>
    </row>
    <row r="203" ht="15.75" customHeight="1">
      <c r="B203" s="29"/>
      <c r="D203" s="29"/>
    </row>
    <row r="204" ht="15.75" customHeight="1">
      <c r="B204" s="29"/>
      <c r="D204" s="29"/>
    </row>
    <row r="205" ht="15.75" customHeight="1">
      <c r="B205" s="29"/>
      <c r="D205" s="29"/>
    </row>
    <row r="206" ht="15.75" customHeight="1">
      <c r="B206" s="29"/>
      <c r="D206" s="29"/>
    </row>
    <row r="207" ht="15.75" customHeight="1">
      <c r="B207" s="29"/>
      <c r="D207" s="29"/>
    </row>
    <row r="208" ht="15.75" customHeight="1">
      <c r="B208" s="29"/>
      <c r="D208" s="29"/>
    </row>
    <row r="209" ht="15.75" customHeight="1">
      <c r="B209" s="29"/>
      <c r="D209" s="29"/>
    </row>
    <row r="210" ht="15.75" customHeight="1">
      <c r="B210" s="29"/>
      <c r="D210" s="29"/>
    </row>
    <row r="211" ht="15.75" customHeight="1">
      <c r="B211" s="29"/>
      <c r="D211" s="29"/>
    </row>
    <row r="212" ht="15.75" customHeight="1">
      <c r="B212" s="29"/>
      <c r="D212" s="29"/>
    </row>
    <row r="213" ht="15.75" customHeight="1">
      <c r="B213" s="29"/>
      <c r="D213" s="29"/>
    </row>
    <row r="214" ht="15.75" customHeight="1">
      <c r="B214" s="29"/>
      <c r="D214" s="29"/>
    </row>
    <row r="215" ht="15.75" customHeight="1">
      <c r="B215" s="29"/>
      <c r="D215" s="29"/>
    </row>
    <row r="216" ht="15.75" customHeight="1">
      <c r="B216" s="29"/>
      <c r="D216" s="29"/>
    </row>
    <row r="217" ht="15.75" customHeight="1">
      <c r="B217" s="29"/>
      <c r="D217" s="29"/>
    </row>
    <row r="218" ht="15.75" customHeight="1">
      <c r="B218" s="29"/>
      <c r="D218" s="29"/>
    </row>
    <row r="219" ht="15.75" customHeight="1">
      <c r="B219" s="29"/>
      <c r="D219" s="29"/>
    </row>
    <row r="220" ht="15.75" customHeight="1">
      <c r="B220" s="29"/>
      <c r="D220" s="29"/>
    </row>
    <row r="221" ht="15.75" customHeight="1">
      <c r="B221" s="29"/>
      <c r="D221" s="29"/>
    </row>
    <row r="222" ht="15.75" customHeight="1">
      <c r="B222" s="29"/>
      <c r="D222" s="29"/>
    </row>
    <row r="223" ht="15.75" customHeight="1">
      <c r="B223" s="29"/>
      <c r="D223" s="29"/>
    </row>
    <row r="224" ht="15.75" customHeight="1">
      <c r="B224" s="29"/>
      <c r="D224" s="29"/>
    </row>
    <row r="225" ht="15.75" customHeight="1">
      <c r="B225" s="29"/>
      <c r="D225" s="29"/>
    </row>
    <row r="226" ht="15.75" customHeight="1">
      <c r="B226" s="29"/>
      <c r="D226" s="29"/>
    </row>
    <row r="227" ht="15.75" customHeight="1">
      <c r="B227" s="29"/>
      <c r="D227" s="29"/>
    </row>
    <row r="228" ht="15.75" customHeight="1">
      <c r="B228" s="29"/>
      <c r="D228" s="29"/>
    </row>
    <row r="229" ht="15.75" customHeight="1">
      <c r="B229" s="29"/>
      <c r="D229" s="29"/>
    </row>
    <row r="230" ht="15.75" customHeight="1">
      <c r="B230" s="29"/>
      <c r="D230" s="29"/>
    </row>
    <row r="231" ht="15.75" customHeight="1">
      <c r="B231" s="29"/>
      <c r="D231" s="29"/>
    </row>
    <row r="232" ht="15.75" customHeight="1">
      <c r="B232" s="29"/>
      <c r="D232" s="29"/>
    </row>
    <row r="233" ht="15.75" customHeight="1">
      <c r="B233" s="29"/>
      <c r="D233" s="29"/>
    </row>
    <row r="234" ht="15.75" customHeight="1">
      <c r="B234" s="29"/>
      <c r="D234" s="29"/>
    </row>
    <row r="235" ht="15.75" customHeight="1">
      <c r="B235" s="29"/>
      <c r="D235" s="29"/>
    </row>
    <row r="236" ht="15.75" customHeight="1">
      <c r="B236" s="29"/>
      <c r="D236" s="29"/>
    </row>
    <row r="237" ht="15.75" customHeight="1">
      <c r="B237" s="29"/>
      <c r="D237" s="29"/>
    </row>
    <row r="238" ht="15.75" customHeight="1">
      <c r="B238" s="29"/>
      <c r="D238" s="29"/>
    </row>
    <row r="239" ht="15.75" customHeight="1">
      <c r="B239" s="29"/>
      <c r="D239" s="29"/>
    </row>
    <row r="240" ht="15.75" customHeight="1">
      <c r="B240" s="29"/>
      <c r="D240" s="29"/>
    </row>
    <row r="241" ht="15.75" customHeight="1">
      <c r="B241" s="29"/>
      <c r="D241" s="29"/>
    </row>
    <row r="242" ht="15.75" customHeight="1">
      <c r="B242" s="29"/>
      <c r="D242" s="29"/>
    </row>
    <row r="243" ht="15.75" customHeight="1">
      <c r="B243" s="29"/>
      <c r="D243" s="29"/>
    </row>
    <row r="244" ht="15.75" customHeight="1">
      <c r="B244" s="29"/>
      <c r="D244" s="29"/>
    </row>
    <row r="245" ht="15.75" customHeight="1">
      <c r="B245" s="29"/>
      <c r="D245" s="29"/>
    </row>
    <row r="246" ht="15.75" customHeight="1">
      <c r="B246" s="29"/>
      <c r="D246" s="29"/>
    </row>
    <row r="247" ht="15.75" customHeight="1">
      <c r="B247" s="29"/>
      <c r="D247" s="29"/>
    </row>
    <row r="248" ht="15.75" customHeight="1">
      <c r="B248" s="29"/>
      <c r="D248" s="29"/>
    </row>
    <row r="249" ht="15.75" customHeight="1">
      <c r="B249" s="29"/>
      <c r="D249" s="29"/>
    </row>
    <row r="250" ht="15.75" customHeight="1">
      <c r="B250" s="29"/>
      <c r="D250" s="29"/>
    </row>
    <row r="251" ht="15.75" customHeight="1">
      <c r="B251" s="29"/>
      <c r="D251" s="29"/>
    </row>
    <row r="252" ht="15.75" customHeight="1">
      <c r="B252" s="29"/>
      <c r="D252" s="29"/>
    </row>
    <row r="253" ht="15.75" customHeight="1">
      <c r="B253" s="29"/>
      <c r="D253" s="29"/>
    </row>
    <row r="254" ht="15.75" customHeight="1">
      <c r="B254" s="29"/>
      <c r="D254" s="29"/>
    </row>
    <row r="255" ht="15.75" customHeight="1">
      <c r="B255" s="29"/>
      <c r="D255" s="29"/>
    </row>
    <row r="256" ht="15.75" customHeight="1">
      <c r="B256" s="29"/>
      <c r="D256" s="29"/>
    </row>
    <row r="257" ht="15.75" customHeight="1">
      <c r="B257" s="29"/>
      <c r="D257" s="29"/>
    </row>
    <row r="258" ht="15.75" customHeight="1">
      <c r="B258" s="29"/>
      <c r="D258" s="29"/>
    </row>
    <row r="259" ht="15.75" customHeight="1">
      <c r="B259" s="29"/>
      <c r="D259" s="29"/>
    </row>
    <row r="260" ht="15.75" customHeight="1">
      <c r="B260" s="29"/>
      <c r="D260" s="29"/>
    </row>
    <row r="261" ht="15.75" customHeight="1">
      <c r="B261" s="29"/>
      <c r="D261" s="29"/>
    </row>
    <row r="262" ht="15.75" customHeight="1">
      <c r="B262" s="29"/>
      <c r="D262" s="29"/>
    </row>
    <row r="263" ht="15.75" customHeight="1">
      <c r="B263" s="29"/>
      <c r="D263" s="29"/>
    </row>
    <row r="264" ht="15.75" customHeight="1">
      <c r="B264" s="29"/>
      <c r="D264" s="29"/>
    </row>
    <row r="265" ht="15.75" customHeight="1">
      <c r="B265" s="29"/>
      <c r="D265" s="29"/>
    </row>
    <row r="266" ht="15.75" customHeight="1">
      <c r="B266" s="29"/>
      <c r="D266" s="29"/>
    </row>
    <row r="267" ht="15.75" customHeight="1">
      <c r="B267" s="29"/>
      <c r="D267" s="29"/>
    </row>
    <row r="268" ht="15.75" customHeight="1">
      <c r="B268" s="29"/>
      <c r="D268" s="29"/>
    </row>
    <row r="269" ht="15.75" customHeight="1">
      <c r="B269" s="29"/>
      <c r="D269" s="29"/>
    </row>
    <row r="270" ht="15.75" customHeight="1">
      <c r="B270" s="29"/>
      <c r="D270" s="29"/>
    </row>
    <row r="271" ht="15.75" customHeight="1">
      <c r="B271" s="29"/>
      <c r="D271" s="29"/>
    </row>
    <row r="272" ht="15.75" customHeight="1">
      <c r="B272" s="29"/>
      <c r="D272" s="29"/>
    </row>
    <row r="273" ht="15.75" customHeight="1">
      <c r="B273" s="29"/>
      <c r="D273" s="29"/>
    </row>
    <row r="274" ht="15.75" customHeight="1">
      <c r="B274" s="29"/>
      <c r="D274" s="29"/>
    </row>
    <row r="275" ht="15.75" customHeight="1">
      <c r="B275" s="29"/>
      <c r="D275" s="29"/>
    </row>
    <row r="276" ht="15.75" customHeight="1">
      <c r="B276" s="29"/>
      <c r="D276" s="29"/>
    </row>
    <row r="277" ht="15.75" customHeight="1">
      <c r="B277" s="29"/>
      <c r="D277" s="29"/>
    </row>
    <row r="278" ht="15.75" customHeight="1">
      <c r="B278" s="29"/>
      <c r="D278" s="29"/>
    </row>
    <row r="279" ht="15.75" customHeight="1">
      <c r="B279" s="29"/>
      <c r="D279" s="29"/>
    </row>
    <row r="280" ht="15.75" customHeight="1">
      <c r="B280" s="29"/>
      <c r="D280" s="29"/>
    </row>
    <row r="281" ht="15.75" customHeight="1">
      <c r="B281" s="29"/>
      <c r="D281" s="29"/>
    </row>
    <row r="282" ht="15.75" customHeight="1">
      <c r="B282" s="29"/>
      <c r="D282" s="29"/>
    </row>
    <row r="283" ht="15.75" customHeight="1">
      <c r="B283" s="29"/>
      <c r="D283" s="29"/>
    </row>
    <row r="284" ht="15.75" customHeight="1">
      <c r="B284" s="29"/>
      <c r="D284" s="29"/>
    </row>
    <row r="285" ht="15.75" customHeight="1">
      <c r="B285" s="29"/>
      <c r="D285" s="29"/>
    </row>
    <row r="286" ht="15.75" customHeight="1">
      <c r="B286" s="29"/>
      <c r="D286" s="29"/>
    </row>
    <row r="287" ht="15.75" customHeight="1">
      <c r="B287" s="29"/>
      <c r="D287" s="29"/>
    </row>
    <row r="288" ht="15.75" customHeight="1">
      <c r="B288" s="29"/>
      <c r="D288" s="29"/>
    </row>
    <row r="289" ht="15.75" customHeight="1">
      <c r="B289" s="29"/>
      <c r="D289" s="29"/>
    </row>
    <row r="290" ht="15.75" customHeight="1">
      <c r="B290" s="29"/>
      <c r="D290" s="29"/>
    </row>
    <row r="291" ht="15.75" customHeight="1">
      <c r="B291" s="29"/>
      <c r="D291" s="29"/>
    </row>
    <row r="292" ht="15.75" customHeight="1">
      <c r="B292" s="29"/>
      <c r="D292" s="29"/>
    </row>
    <row r="293" ht="15.75" customHeight="1">
      <c r="B293" s="29"/>
      <c r="D293" s="29"/>
    </row>
    <row r="294" ht="15.75" customHeight="1">
      <c r="B294" s="29"/>
      <c r="D294" s="29"/>
    </row>
    <row r="295" ht="15.75" customHeight="1">
      <c r="B295" s="29"/>
      <c r="D295" s="29"/>
    </row>
    <row r="296" ht="15.75" customHeight="1">
      <c r="B296" s="29"/>
      <c r="D296" s="29"/>
    </row>
    <row r="297" ht="15.75" customHeight="1">
      <c r="B297" s="29"/>
      <c r="D297" s="29"/>
    </row>
    <row r="298" ht="15.75" customHeight="1">
      <c r="B298" s="29"/>
      <c r="D298" s="29"/>
    </row>
    <row r="299" ht="15.75" customHeight="1">
      <c r="B299" s="29"/>
      <c r="D299" s="29"/>
    </row>
    <row r="300" ht="15.75" customHeight="1">
      <c r="B300" s="29"/>
      <c r="D300" s="29"/>
    </row>
    <row r="301" ht="15.75" customHeight="1">
      <c r="B301" s="29"/>
      <c r="D301" s="29"/>
    </row>
    <row r="302" ht="15.75" customHeight="1">
      <c r="B302" s="29"/>
      <c r="D302" s="29"/>
    </row>
    <row r="303" ht="15.75" customHeight="1">
      <c r="B303" s="29"/>
      <c r="D303" s="29"/>
    </row>
    <row r="304" ht="15.75" customHeight="1">
      <c r="B304" s="29"/>
      <c r="D304" s="29"/>
    </row>
    <row r="305" ht="15.75" customHeight="1">
      <c r="B305" s="29"/>
      <c r="D305" s="29"/>
    </row>
    <row r="306" ht="15.75" customHeight="1">
      <c r="B306" s="29"/>
      <c r="D306" s="29"/>
    </row>
    <row r="307" ht="15.75" customHeight="1">
      <c r="B307" s="29"/>
      <c r="D307" s="29"/>
    </row>
    <row r="308" ht="15.75" customHeight="1">
      <c r="B308" s="29"/>
      <c r="D308" s="29"/>
    </row>
    <row r="309" ht="15.75" customHeight="1">
      <c r="B309" s="29"/>
      <c r="D309" s="29"/>
    </row>
    <row r="310" ht="15.75" customHeight="1">
      <c r="B310" s="29"/>
      <c r="D310" s="29"/>
    </row>
    <row r="311" ht="15.75" customHeight="1">
      <c r="B311" s="29"/>
      <c r="D311" s="29"/>
    </row>
    <row r="312" ht="15.75" customHeight="1">
      <c r="B312" s="29"/>
      <c r="D312" s="29"/>
    </row>
    <row r="313" ht="15.75" customHeight="1">
      <c r="B313" s="29"/>
      <c r="D313" s="29"/>
    </row>
    <row r="314" ht="15.75" customHeight="1">
      <c r="B314" s="29"/>
      <c r="D314" s="29"/>
    </row>
    <row r="315" ht="15.75" customHeight="1">
      <c r="B315" s="29"/>
      <c r="D315" s="29"/>
    </row>
    <row r="316" ht="15.75" customHeight="1">
      <c r="B316" s="29"/>
      <c r="D316" s="29"/>
    </row>
    <row r="317" ht="15.75" customHeight="1">
      <c r="B317" s="29"/>
      <c r="D317" s="29"/>
    </row>
    <row r="318" ht="15.75" customHeight="1">
      <c r="B318" s="29"/>
      <c r="D318" s="29"/>
    </row>
    <row r="319" ht="15.75" customHeight="1">
      <c r="B319" s="29"/>
      <c r="D319" s="29"/>
    </row>
    <row r="320" ht="15.75" customHeight="1">
      <c r="B320" s="29"/>
      <c r="D320" s="29"/>
    </row>
    <row r="321" ht="15.75" customHeight="1">
      <c r="B321" s="29"/>
      <c r="D321" s="29"/>
    </row>
    <row r="322" ht="15.75" customHeight="1">
      <c r="B322" s="29"/>
      <c r="D322" s="29"/>
    </row>
    <row r="323" ht="15.75" customHeight="1">
      <c r="B323" s="29"/>
      <c r="D323" s="29"/>
    </row>
    <row r="324" ht="15.75" customHeight="1">
      <c r="B324" s="29"/>
      <c r="D324" s="29"/>
    </row>
    <row r="325" ht="15.75" customHeight="1">
      <c r="B325" s="29"/>
      <c r="D325" s="29"/>
    </row>
    <row r="326" ht="15.75" customHeight="1">
      <c r="B326" s="29"/>
      <c r="D326" s="29"/>
    </row>
    <row r="327" ht="15.75" customHeight="1">
      <c r="B327" s="29"/>
      <c r="D327" s="29"/>
    </row>
    <row r="328" ht="15.75" customHeight="1">
      <c r="B328" s="29"/>
      <c r="D328" s="29"/>
    </row>
    <row r="329" ht="15.75" customHeight="1">
      <c r="B329" s="29"/>
      <c r="D329" s="29"/>
    </row>
    <row r="330" ht="15.75" customHeight="1">
      <c r="B330" s="29"/>
      <c r="D330" s="29"/>
    </row>
    <row r="331" ht="15.75" customHeight="1">
      <c r="B331" s="29"/>
      <c r="D331" s="29"/>
    </row>
    <row r="332" ht="15.75" customHeight="1">
      <c r="B332" s="29"/>
      <c r="D332" s="29"/>
    </row>
    <row r="333" ht="15.75" customHeight="1">
      <c r="B333" s="29"/>
      <c r="D333" s="29"/>
    </row>
    <row r="334" ht="15.75" customHeight="1">
      <c r="B334" s="29"/>
      <c r="D334" s="29"/>
    </row>
    <row r="335" ht="15.75" customHeight="1">
      <c r="B335" s="29"/>
      <c r="D335" s="29"/>
    </row>
    <row r="336" ht="15.75" customHeight="1">
      <c r="B336" s="29"/>
      <c r="D336" s="29"/>
    </row>
    <row r="337" ht="15.75" customHeight="1">
      <c r="B337" s="29"/>
      <c r="D337" s="29"/>
    </row>
    <row r="338" ht="15.75" customHeight="1">
      <c r="B338" s="29"/>
      <c r="D338" s="29"/>
    </row>
    <row r="339" ht="15.75" customHeight="1">
      <c r="B339" s="29"/>
      <c r="D339" s="29"/>
    </row>
    <row r="340" ht="15.75" customHeight="1">
      <c r="B340" s="29"/>
      <c r="D340" s="29"/>
    </row>
    <row r="341" ht="15.75" customHeight="1">
      <c r="B341" s="29"/>
      <c r="D341" s="29"/>
    </row>
    <row r="342" ht="15.75" customHeight="1">
      <c r="B342" s="29"/>
      <c r="D342" s="29"/>
    </row>
    <row r="343" ht="15.75" customHeight="1">
      <c r="B343" s="29"/>
      <c r="D343" s="29"/>
    </row>
    <row r="344" ht="15.75" customHeight="1">
      <c r="B344" s="29"/>
      <c r="D344" s="29"/>
    </row>
    <row r="345" ht="15.75" customHeight="1">
      <c r="B345" s="29"/>
      <c r="D345" s="29"/>
    </row>
    <row r="346" ht="15.75" customHeight="1">
      <c r="B346" s="29"/>
      <c r="D346" s="29"/>
    </row>
    <row r="347" ht="15.75" customHeight="1">
      <c r="B347" s="29"/>
      <c r="D347" s="29"/>
    </row>
    <row r="348" ht="15.75" customHeight="1">
      <c r="B348" s="29"/>
      <c r="D348" s="29"/>
    </row>
    <row r="349" ht="15.75" customHeight="1">
      <c r="B349" s="29"/>
      <c r="D349" s="29"/>
    </row>
    <row r="350" ht="15.75" customHeight="1">
      <c r="B350" s="29"/>
      <c r="D350" s="29"/>
    </row>
    <row r="351" ht="15.75" customHeight="1">
      <c r="B351" s="29"/>
      <c r="D351" s="29"/>
    </row>
    <row r="352" ht="15.75" customHeight="1">
      <c r="B352" s="29"/>
      <c r="D352" s="29"/>
    </row>
    <row r="353" ht="15.75" customHeight="1">
      <c r="B353" s="29"/>
      <c r="D353" s="29"/>
    </row>
    <row r="354" ht="15.75" customHeight="1">
      <c r="B354" s="29"/>
      <c r="D354" s="29"/>
    </row>
    <row r="355" ht="15.75" customHeight="1">
      <c r="B355" s="29"/>
      <c r="D355" s="29"/>
    </row>
    <row r="356" ht="15.75" customHeight="1">
      <c r="B356" s="29"/>
      <c r="D356" s="29"/>
    </row>
    <row r="357" ht="15.75" customHeight="1">
      <c r="B357" s="29"/>
      <c r="D357" s="29"/>
    </row>
    <row r="358" ht="15.75" customHeight="1">
      <c r="B358" s="29"/>
      <c r="D358" s="29"/>
    </row>
    <row r="359" ht="15.75" customHeight="1">
      <c r="B359" s="29"/>
      <c r="D359" s="29"/>
    </row>
    <row r="360" ht="15.75" customHeight="1">
      <c r="B360" s="29"/>
      <c r="D360" s="29"/>
    </row>
    <row r="361" ht="15.75" customHeight="1">
      <c r="B361" s="29"/>
      <c r="D361" s="29"/>
    </row>
    <row r="362" ht="15.75" customHeight="1">
      <c r="B362" s="29"/>
      <c r="D362" s="29"/>
    </row>
    <row r="363" ht="15.75" customHeight="1">
      <c r="B363" s="29"/>
      <c r="D363" s="29"/>
    </row>
    <row r="364" ht="15.75" customHeight="1">
      <c r="B364" s="29"/>
      <c r="D364" s="29"/>
    </row>
    <row r="365" ht="15.75" customHeight="1">
      <c r="B365" s="29"/>
      <c r="D365" s="29"/>
    </row>
    <row r="366" ht="15.75" customHeight="1">
      <c r="B366" s="29"/>
      <c r="D366" s="29"/>
    </row>
    <row r="367" ht="15.75" customHeight="1">
      <c r="B367" s="29"/>
      <c r="D367" s="29"/>
    </row>
    <row r="368" ht="15.75" customHeight="1">
      <c r="B368" s="29"/>
      <c r="D368" s="29"/>
    </row>
    <row r="369" ht="15.75" customHeight="1">
      <c r="B369" s="29"/>
      <c r="D369" s="29"/>
    </row>
    <row r="370" ht="15.75" customHeight="1">
      <c r="B370" s="29"/>
      <c r="D370" s="29"/>
    </row>
    <row r="371" ht="15.75" customHeight="1">
      <c r="B371" s="29"/>
      <c r="D371" s="29"/>
    </row>
    <row r="372" ht="15.75" customHeight="1">
      <c r="B372" s="29"/>
      <c r="D372" s="29"/>
    </row>
    <row r="373" ht="15.75" customHeight="1">
      <c r="B373" s="29"/>
      <c r="D373" s="29"/>
    </row>
    <row r="374" ht="15.75" customHeight="1">
      <c r="B374" s="29"/>
      <c r="D374" s="29"/>
    </row>
    <row r="375" ht="15.75" customHeight="1">
      <c r="B375" s="29"/>
      <c r="D375" s="29"/>
    </row>
    <row r="376" ht="15.75" customHeight="1">
      <c r="B376" s="29"/>
      <c r="D376" s="29"/>
    </row>
    <row r="377" ht="15.75" customHeight="1">
      <c r="B377" s="29"/>
      <c r="D377" s="29"/>
    </row>
    <row r="378" ht="15.75" customHeight="1">
      <c r="B378" s="29"/>
      <c r="D378" s="29"/>
    </row>
    <row r="379" ht="15.75" customHeight="1">
      <c r="B379" s="29"/>
      <c r="D379" s="29"/>
    </row>
    <row r="380" ht="15.75" customHeight="1">
      <c r="B380" s="29"/>
      <c r="D380" s="29"/>
    </row>
    <row r="381" ht="15.75" customHeight="1">
      <c r="B381" s="29"/>
      <c r="D381" s="29"/>
    </row>
    <row r="382" ht="15.75" customHeight="1">
      <c r="B382" s="29"/>
      <c r="D382" s="29"/>
    </row>
    <row r="383" ht="15.75" customHeight="1">
      <c r="B383" s="29"/>
      <c r="D383" s="29"/>
    </row>
    <row r="384" ht="15.75" customHeight="1">
      <c r="B384" s="29"/>
      <c r="D384" s="29"/>
    </row>
    <row r="385" ht="15.75" customHeight="1">
      <c r="B385" s="29"/>
      <c r="D385" s="29"/>
    </row>
    <row r="386" ht="15.75" customHeight="1">
      <c r="B386" s="29"/>
      <c r="D386" s="29"/>
    </row>
    <row r="387" ht="15.75" customHeight="1">
      <c r="B387" s="29"/>
      <c r="D387" s="29"/>
    </row>
    <row r="388" ht="15.75" customHeight="1">
      <c r="B388" s="29"/>
      <c r="D388" s="29"/>
    </row>
    <row r="389" ht="15.75" customHeight="1">
      <c r="B389" s="29"/>
      <c r="D389" s="29"/>
    </row>
    <row r="390" ht="15.75" customHeight="1">
      <c r="B390" s="29"/>
      <c r="D390" s="29"/>
    </row>
    <row r="391" ht="15.75" customHeight="1">
      <c r="B391" s="29"/>
      <c r="D391" s="29"/>
    </row>
    <row r="392" ht="15.75" customHeight="1">
      <c r="B392" s="29"/>
      <c r="D392" s="29"/>
    </row>
    <row r="393" ht="15.75" customHeight="1">
      <c r="B393" s="29"/>
      <c r="D393" s="29"/>
    </row>
    <row r="394" ht="15.75" customHeight="1">
      <c r="B394" s="29"/>
      <c r="D394" s="29"/>
    </row>
    <row r="395" ht="15.75" customHeight="1">
      <c r="B395" s="29"/>
      <c r="D395" s="29"/>
    </row>
    <row r="396" ht="15.75" customHeight="1">
      <c r="B396" s="29"/>
      <c r="D396" s="29"/>
    </row>
    <row r="397" ht="15.75" customHeight="1">
      <c r="B397" s="29"/>
      <c r="D397" s="29"/>
    </row>
    <row r="398" ht="15.75" customHeight="1">
      <c r="B398" s="29"/>
      <c r="D398" s="29"/>
    </row>
    <row r="399" ht="15.75" customHeight="1">
      <c r="B399" s="29"/>
      <c r="D399" s="29"/>
    </row>
    <row r="400" ht="15.75" customHeight="1">
      <c r="B400" s="29"/>
      <c r="D400" s="29"/>
    </row>
    <row r="401" ht="15.75" customHeight="1">
      <c r="B401" s="29"/>
      <c r="D401" s="29"/>
    </row>
    <row r="402" ht="15.75" customHeight="1">
      <c r="B402" s="29"/>
      <c r="D402" s="29"/>
    </row>
    <row r="403" ht="15.75" customHeight="1">
      <c r="B403" s="29"/>
      <c r="D403" s="29"/>
    </row>
    <row r="404" ht="15.75" customHeight="1">
      <c r="B404" s="29"/>
      <c r="D404" s="29"/>
    </row>
    <row r="405" ht="15.75" customHeight="1">
      <c r="B405" s="29"/>
      <c r="D405" s="29"/>
    </row>
    <row r="406" ht="15.75" customHeight="1">
      <c r="B406" s="29"/>
      <c r="D406" s="29"/>
    </row>
    <row r="407" ht="15.75" customHeight="1">
      <c r="B407" s="29"/>
      <c r="D407" s="29"/>
    </row>
    <row r="408" ht="15.75" customHeight="1">
      <c r="B408" s="29"/>
      <c r="D408" s="29"/>
    </row>
    <row r="409" ht="15.75" customHeight="1">
      <c r="B409" s="29"/>
      <c r="D409" s="29"/>
    </row>
    <row r="410" ht="15.75" customHeight="1">
      <c r="B410" s="29"/>
      <c r="D410" s="29"/>
    </row>
    <row r="411" ht="15.75" customHeight="1">
      <c r="B411" s="29"/>
      <c r="D411" s="29"/>
    </row>
    <row r="412" ht="15.75" customHeight="1">
      <c r="B412" s="29"/>
      <c r="D412" s="29"/>
    </row>
    <row r="413" ht="15.75" customHeight="1">
      <c r="B413" s="29"/>
      <c r="D413" s="29"/>
    </row>
    <row r="414" ht="15.75" customHeight="1">
      <c r="B414" s="29"/>
      <c r="D414" s="29"/>
    </row>
    <row r="415" ht="15.75" customHeight="1">
      <c r="B415" s="29"/>
      <c r="D415" s="29"/>
    </row>
    <row r="416" ht="15.75" customHeight="1">
      <c r="B416" s="29"/>
      <c r="D416" s="29"/>
    </row>
    <row r="417" ht="15.75" customHeight="1">
      <c r="B417" s="29"/>
      <c r="D417" s="29"/>
    </row>
    <row r="418" ht="15.75" customHeight="1">
      <c r="B418" s="29"/>
      <c r="D418" s="29"/>
    </row>
    <row r="419" ht="15.75" customHeight="1">
      <c r="B419" s="29"/>
      <c r="D419" s="29"/>
    </row>
    <row r="420" ht="15.75" customHeight="1">
      <c r="B420" s="29"/>
      <c r="D420" s="29"/>
    </row>
    <row r="421" ht="15.75" customHeight="1">
      <c r="B421" s="29"/>
      <c r="D421" s="29"/>
    </row>
    <row r="422" ht="15.75" customHeight="1">
      <c r="B422" s="29"/>
      <c r="D422" s="29"/>
    </row>
    <row r="423" ht="15.75" customHeight="1">
      <c r="B423" s="29"/>
      <c r="D423" s="29"/>
    </row>
    <row r="424" ht="15.75" customHeight="1">
      <c r="B424" s="29"/>
      <c r="D424" s="29"/>
    </row>
    <row r="425" ht="15.75" customHeight="1">
      <c r="B425" s="29"/>
      <c r="D425" s="29"/>
    </row>
    <row r="426" ht="15.75" customHeight="1">
      <c r="B426" s="29"/>
      <c r="D426" s="29"/>
    </row>
    <row r="427" ht="15.75" customHeight="1">
      <c r="B427" s="29"/>
      <c r="D427" s="29"/>
    </row>
    <row r="428" ht="15.75" customHeight="1">
      <c r="B428" s="29"/>
      <c r="D428" s="29"/>
    </row>
    <row r="429" ht="15.75" customHeight="1">
      <c r="B429" s="29"/>
      <c r="D429" s="29"/>
    </row>
    <row r="430" ht="15.75" customHeight="1">
      <c r="B430" s="29"/>
      <c r="D430" s="29"/>
    </row>
    <row r="431" ht="15.75" customHeight="1">
      <c r="B431" s="29"/>
      <c r="D431" s="29"/>
    </row>
    <row r="432" ht="15.75" customHeight="1">
      <c r="B432" s="29"/>
      <c r="D432" s="29"/>
    </row>
    <row r="433" ht="15.75" customHeight="1">
      <c r="B433" s="29"/>
      <c r="D433" s="29"/>
    </row>
    <row r="434" ht="15.75" customHeight="1">
      <c r="B434" s="29"/>
      <c r="D434" s="29"/>
    </row>
    <row r="435" ht="15.75" customHeight="1">
      <c r="B435" s="29"/>
      <c r="D435" s="29"/>
    </row>
    <row r="436" ht="15.75" customHeight="1">
      <c r="B436" s="29"/>
      <c r="D436" s="29"/>
    </row>
    <row r="437" ht="15.75" customHeight="1">
      <c r="B437" s="29"/>
      <c r="D437" s="29"/>
    </row>
    <row r="438" ht="15.75" customHeight="1">
      <c r="B438" s="29"/>
      <c r="D438" s="29"/>
    </row>
    <row r="439" ht="15.75" customHeight="1">
      <c r="B439" s="29"/>
      <c r="D439" s="29"/>
    </row>
    <row r="440" ht="15.75" customHeight="1">
      <c r="B440" s="29"/>
      <c r="D440" s="29"/>
    </row>
    <row r="441" ht="15.75" customHeight="1">
      <c r="B441" s="29"/>
      <c r="D441" s="29"/>
    </row>
    <row r="442" ht="15.75" customHeight="1">
      <c r="B442" s="29"/>
      <c r="D442" s="29"/>
    </row>
    <row r="443" ht="15.75" customHeight="1">
      <c r="B443" s="29"/>
      <c r="D443" s="29"/>
    </row>
    <row r="444" ht="15.75" customHeight="1">
      <c r="B444" s="29"/>
      <c r="D444" s="29"/>
    </row>
    <row r="445" ht="15.75" customHeight="1">
      <c r="B445" s="29"/>
      <c r="D445" s="29"/>
    </row>
    <row r="446" ht="15.75" customHeight="1">
      <c r="B446" s="29"/>
      <c r="D446" s="29"/>
    </row>
    <row r="447" ht="15.75" customHeight="1">
      <c r="B447" s="29"/>
      <c r="D447" s="29"/>
    </row>
    <row r="448" ht="15.75" customHeight="1">
      <c r="B448" s="29"/>
      <c r="D448" s="29"/>
    </row>
    <row r="449" ht="15.75" customHeight="1">
      <c r="B449" s="29"/>
      <c r="D449" s="29"/>
    </row>
    <row r="450" ht="15.75" customHeight="1">
      <c r="B450" s="29"/>
      <c r="D450" s="29"/>
    </row>
    <row r="451" ht="15.75" customHeight="1">
      <c r="B451" s="29"/>
      <c r="D451" s="29"/>
    </row>
    <row r="452" ht="15.75" customHeight="1">
      <c r="B452" s="29"/>
      <c r="D452" s="29"/>
    </row>
    <row r="453" ht="15.75" customHeight="1">
      <c r="B453" s="29"/>
      <c r="D453" s="29"/>
    </row>
    <row r="454" ht="15.75" customHeight="1">
      <c r="B454" s="29"/>
      <c r="D454" s="29"/>
    </row>
    <row r="455" ht="15.75" customHeight="1">
      <c r="B455" s="29"/>
      <c r="D455" s="29"/>
    </row>
    <row r="456" ht="15.75" customHeight="1">
      <c r="B456" s="29"/>
      <c r="D456" s="29"/>
    </row>
    <row r="457" ht="15.75" customHeight="1">
      <c r="B457" s="29"/>
      <c r="D457" s="29"/>
    </row>
    <row r="458" ht="15.75" customHeight="1">
      <c r="B458" s="29"/>
      <c r="D458" s="29"/>
    </row>
    <row r="459" ht="15.75" customHeight="1">
      <c r="B459" s="29"/>
      <c r="D459" s="29"/>
    </row>
    <row r="460" ht="15.75" customHeight="1">
      <c r="B460" s="29"/>
      <c r="D460" s="29"/>
    </row>
    <row r="461" ht="15.75" customHeight="1">
      <c r="B461" s="29"/>
      <c r="D461" s="29"/>
    </row>
    <row r="462" ht="15.75" customHeight="1">
      <c r="B462" s="29"/>
      <c r="D462" s="29"/>
    </row>
    <row r="463" ht="15.75" customHeight="1">
      <c r="B463" s="29"/>
      <c r="D463" s="29"/>
    </row>
    <row r="464" ht="15.75" customHeight="1">
      <c r="B464" s="29"/>
      <c r="D464" s="29"/>
    </row>
    <row r="465" ht="15.75" customHeight="1">
      <c r="B465" s="29"/>
      <c r="D465" s="29"/>
    </row>
    <row r="466" ht="15.75" customHeight="1">
      <c r="B466" s="29"/>
      <c r="D466" s="29"/>
    </row>
    <row r="467" ht="15.75" customHeight="1">
      <c r="B467" s="29"/>
      <c r="D467" s="29"/>
    </row>
    <row r="468" ht="15.75" customHeight="1">
      <c r="B468" s="29"/>
      <c r="D468" s="29"/>
    </row>
    <row r="469" ht="15.75" customHeight="1">
      <c r="B469" s="29"/>
      <c r="D469" s="29"/>
    </row>
    <row r="470" ht="15.75" customHeight="1">
      <c r="B470" s="29"/>
      <c r="D470" s="29"/>
    </row>
    <row r="471" ht="15.75" customHeight="1">
      <c r="B471" s="29"/>
      <c r="D471" s="29"/>
    </row>
    <row r="472" ht="15.75" customHeight="1">
      <c r="B472" s="29"/>
      <c r="D472" s="29"/>
    </row>
    <row r="473" ht="15.75" customHeight="1">
      <c r="B473" s="29"/>
      <c r="D473" s="29"/>
    </row>
    <row r="474" ht="15.75" customHeight="1">
      <c r="B474" s="29"/>
      <c r="D474" s="29"/>
    </row>
    <row r="475" ht="15.75" customHeight="1">
      <c r="B475" s="29"/>
      <c r="D475" s="29"/>
    </row>
    <row r="476" ht="15.75" customHeight="1">
      <c r="B476" s="29"/>
      <c r="D476" s="29"/>
    </row>
    <row r="477" ht="15.75" customHeight="1">
      <c r="B477" s="29"/>
      <c r="D477" s="29"/>
    </row>
    <row r="478" ht="15.75" customHeight="1">
      <c r="B478" s="29"/>
      <c r="D478" s="29"/>
    </row>
    <row r="479" ht="15.75" customHeight="1">
      <c r="B479" s="29"/>
      <c r="D479" s="29"/>
    </row>
    <row r="480" ht="15.75" customHeight="1">
      <c r="B480" s="29"/>
      <c r="D480" s="29"/>
    </row>
    <row r="481" ht="15.75" customHeight="1">
      <c r="B481" s="29"/>
      <c r="D481" s="29"/>
    </row>
    <row r="482" ht="15.75" customHeight="1">
      <c r="B482" s="29"/>
      <c r="D482" s="29"/>
    </row>
    <row r="483" ht="15.75" customHeight="1">
      <c r="B483" s="29"/>
      <c r="D483" s="29"/>
    </row>
    <row r="484" ht="15.75" customHeight="1">
      <c r="B484" s="29"/>
      <c r="D484" s="29"/>
    </row>
    <row r="485" ht="15.75" customHeight="1">
      <c r="B485" s="29"/>
      <c r="D485" s="29"/>
    </row>
    <row r="486" ht="15.75" customHeight="1">
      <c r="B486" s="29"/>
      <c r="D486" s="29"/>
    </row>
    <row r="487" ht="15.75" customHeight="1">
      <c r="B487" s="29"/>
      <c r="D487" s="29"/>
    </row>
    <row r="488" ht="15.75" customHeight="1">
      <c r="B488" s="29"/>
      <c r="D488" s="29"/>
    </row>
    <row r="489" ht="15.75" customHeight="1">
      <c r="B489" s="29"/>
      <c r="D489" s="29"/>
    </row>
    <row r="490" ht="15.75" customHeight="1">
      <c r="B490" s="29"/>
      <c r="D490" s="29"/>
    </row>
    <row r="491" ht="15.75" customHeight="1">
      <c r="B491" s="29"/>
      <c r="D491" s="29"/>
    </row>
    <row r="492" ht="15.75" customHeight="1">
      <c r="B492" s="29"/>
      <c r="D492" s="29"/>
    </row>
    <row r="493" ht="15.75" customHeight="1">
      <c r="B493" s="29"/>
      <c r="D493" s="29"/>
    </row>
    <row r="494" ht="15.75" customHeight="1">
      <c r="B494" s="29"/>
      <c r="D494" s="29"/>
    </row>
    <row r="495" ht="15.75" customHeight="1">
      <c r="B495" s="29"/>
      <c r="D495" s="29"/>
    </row>
    <row r="496" ht="15.75" customHeight="1">
      <c r="B496" s="29"/>
      <c r="D496" s="29"/>
    </row>
    <row r="497" ht="15.75" customHeight="1">
      <c r="B497" s="29"/>
      <c r="D497" s="29"/>
    </row>
    <row r="498" ht="15.75" customHeight="1">
      <c r="B498" s="29"/>
      <c r="D498" s="29"/>
    </row>
    <row r="499" ht="15.75" customHeight="1">
      <c r="B499" s="29"/>
      <c r="D499" s="29"/>
    </row>
    <row r="500" ht="15.75" customHeight="1">
      <c r="B500" s="29"/>
      <c r="D500" s="29"/>
    </row>
    <row r="501" ht="15.75" customHeight="1">
      <c r="B501" s="29"/>
      <c r="D501" s="29"/>
    </row>
    <row r="502" ht="15.75" customHeight="1">
      <c r="B502" s="29"/>
      <c r="D502" s="29"/>
    </row>
    <row r="503" ht="15.75" customHeight="1">
      <c r="B503" s="29"/>
      <c r="D503" s="29"/>
    </row>
    <row r="504" ht="15.75" customHeight="1">
      <c r="B504" s="29"/>
      <c r="D504" s="29"/>
    </row>
    <row r="505" ht="15.75" customHeight="1">
      <c r="B505" s="29"/>
      <c r="D505" s="29"/>
    </row>
    <row r="506" ht="15.75" customHeight="1">
      <c r="B506" s="29"/>
      <c r="D506" s="29"/>
    </row>
    <row r="507" ht="15.75" customHeight="1">
      <c r="B507" s="29"/>
      <c r="D507" s="29"/>
    </row>
    <row r="508" ht="15.75" customHeight="1">
      <c r="B508" s="29"/>
      <c r="D508" s="29"/>
    </row>
    <row r="509" ht="15.75" customHeight="1">
      <c r="B509" s="29"/>
      <c r="D509" s="29"/>
    </row>
    <row r="510" ht="15.75" customHeight="1">
      <c r="B510" s="29"/>
      <c r="D510" s="29"/>
    </row>
    <row r="511" ht="15.75" customHeight="1">
      <c r="B511" s="29"/>
      <c r="D511" s="29"/>
    </row>
    <row r="512" ht="15.75" customHeight="1">
      <c r="B512" s="29"/>
      <c r="D512" s="29"/>
    </row>
    <row r="513" ht="15.75" customHeight="1">
      <c r="B513" s="29"/>
      <c r="D513" s="29"/>
    </row>
    <row r="514" ht="15.75" customHeight="1">
      <c r="B514" s="29"/>
      <c r="D514" s="29"/>
    </row>
    <row r="515" ht="15.75" customHeight="1">
      <c r="B515" s="29"/>
      <c r="D515" s="29"/>
    </row>
    <row r="516" ht="15.75" customHeight="1">
      <c r="B516" s="29"/>
      <c r="D516" s="29"/>
    </row>
    <row r="517" ht="15.75" customHeight="1">
      <c r="B517" s="29"/>
      <c r="D517" s="29"/>
    </row>
    <row r="518" ht="15.75" customHeight="1">
      <c r="B518" s="29"/>
      <c r="D518" s="29"/>
    </row>
    <row r="519" ht="15.75" customHeight="1">
      <c r="B519" s="29"/>
      <c r="D519" s="29"/>
    </row>
    <row r="520" ht="15.75" customHeight="1">
      <c r="B520" s="29"/>
      <c r="D520" s="29"/>
    </row>
    <row r="521" ht="15.75" customHeight="1">
      <c r="B521" s="29"/>
      <c r="D521" s="29"/>
    </row>
    <row r="522" ht="15.75" customHeight="1">
      <c r="B522" s="29"/>
      <c r="D522" s="29"/>
    </row>
    <row r="523" ht="15.75" customHeight="1">
      <c r="B523" s="29"/>
      <c r="D523" s="29"/>
    </row>
    <row r="524" ht="15.75" customHeight="1">
      <c r="B524" s="29"/>
      <c r="D524" s="29"/>
    </row>
    <row r="525" ht="15.75" customHeight="1">
      <c r="B525" s="29"/>
      <c r="D525" s="29"/>
    </row>
    <row r="526" ht="15.75" customHeight="1">
      <c r="B526" s="29"/>
      <c r="D526" s="29"/>
    </row>
    <row r="527" ht="15.75" customHeight="1">
      <c r="B527" s="29"/>
      <c r="D527" s="29"/>
    </row>
    <row r="528" ht="15.75" customHeight="1">
      <c r="B528" s="29"/>
      <c r="D528" s="29"/>
    </row>
    <row r="529" ht="15.75" customHeight="1">
      <c r="B529" s="29"/>
      <c r="D529" s="29"/>
    </row>
    <row r="530" ht="15.75" customHeight="1">
      <c r="B530" s="29"/>
      <c r="D530" s="29"/>
    </row>
    <row r="531" ht="15.75" customHeight="1">
      <c r="B531" s="29"/>
      <c r="D531" s="29"/>
    </row>
    <row r="532" ht="15.75" customHeight="1">
      <c r="B532" s="29"/>
      <c r="D532" s="29"/>
    </row>
    <row r="533" ht="15.75" customHeight="1">
      <c r="B533" s="29"/>
      <c r="D533" s="29"/>
    </row>
    <row r="534" ht="15.75" customHeight="1">
      <c r="B534" s="29"/>
      <c r="D534" s="29"/>
    </row>
    <row r="535" ht="15.75" customHeight="1">
      <c r="B535" s="29"/>
      <c r="D535" s="29"/>
    </row>
    <row r="536" ht="15.75" customHeight="1">
      <c r="B536" s="29"/>
      <c r="D536" s="29"/>
    </row>
    <row r="537" ht="15.75" customHeight="1">
      <c r="B537" s="29"/>
      <c r="D537" s="29"/>
    </row>
    <row r="538" ht="15.75" customHeight="1">
      <c r="B538" s="29"/>
      <c r="D538" s="29"/>
    </row>
    <row r="539" ht="15.75" customHeight="1">
      <c r="B539" s="29"/>
      <c r="D539" s="29"/>
    </row>
    <row r="540" ht="15.75" customHeight="1">
      <c r="B540" s="29"/>
      <c r="D540" s="29"/>
    </row>
    <row r="541" ht="15.75" customHeight="1">
      <c r="B541" s="29"/>
      <c r="D541" s="29"/>
    </row>
    <row r="542" ht="15.75" customHeight="1">
      <c r="B542" s="29"/>
      <c r="D542" s="29"/>
    </row>
    <row r="543" ht="15.75" customHeight="1">
      <c r="B543" s="29"/>
      <c r="D543" s="29"/>
    </row>
    <row r="544" ht="15.75" customHeight="1">
      <c r="B544" s="29"/>
      <c r="D544" s="29"/>
    </row>
    <row r="545" ht="15.75" customHeight="1">
      <c r="B545" s="29"/>
      <c r="D545" s="29"/>
    </row>
    <row r="546" ht="15.75" customHeight="1">
      <c r="B546" s="29"/>
      <c r="D546" s="29"/>
    </row>
    <row r="547" ht="15.75" customHeight="1">
      <c r="B547" s="29"/>
      <c r="D547" s="29"/>
    </row>
    <row r="548" ht="15.75" customHeight="1">
      <c r="B548" s="29"/>
      <c r="D548" s="29"/>
    </row>
    <row r="549" ht="15.75" customHeight="1">
      <c r="B549" s="29"/>
      <c r="D549" s="29"/>
    </row>
    <row r="550" ht="15.75" customHeight="1">
      <c r="B550" s="29"/>
      <c r="D550" s="29"/>
    </row>
    <row r="551" ht="15.75" customHeight="1">
      <c r="B551" s="29"/>
      <c r="D551" s="29"/>
    </row>
    <row r="552" ht="15.75" customHeight="1">
      <c r="B552" s="29"/>
      <c r="D552" s="29"/>
    </row>
    <row r="553" ht="15.75" customHeight="1">
      <c r="B553" s="29"/>
      <c r="D553" s="29"/>
    </row>
    <row r="554" ht="15.75" customHeight="1">
      <c r="B554" s="29"/>
      <c r="D554" s="29"/>
    </row>
    <row r="555" ht="15.75" customHeight="1">
      <c r="B555" s="29"/>
      <c r="D555" s="29"/>
    </row>
    <row r="556" ht="15.75" customHeight="1">
      <c r="B556" s="29"/>
      <c r="D556" s="29"/>
    </row>
    <row r="557" ht="15.75" customHeight="1">
      <c r="B557" s="29"/>
      <c r="D557" s="29"/>
    </row>
    <row r="558" ht="15.75" customHeight="1">
      <c r="B558" s="29"/>
      <c r="D558" s="29"/>
    </row>
    <row r="559" ht="15.75" customHeight="1">
      <c r="B559" s="29"/>
      <c r="D559" s="29"/>
    </row>
    <row r="560" ht="15.75" customHeight="1">
      <c r="B560" s="29"/>
      <c r="D560" s="29"/>
    </row>
    <row r="561" ht="15.75" customHeight="1">
      <c r="B561" s="29"/>
      <c r="D561" s="29"/>
    </row>
    <row r="562" ht="15.75" customHeight="1">
      <c r="B562" s="29"/>
      <c r="D562" s="29"/>
    </row>
    <row r="563" ht="15.75" customHeight="1">
      <c r="B563" s="29"/>
      <c r="D563" s="29"/>
    </row>
    <row r="564" ht="15.75" customHeight="1">
      <c r="B564" s="29"/>
      <c r="D564" s="29"/>
    </row>
    <row r="565" ht="15.75" customHeight="1">
      <c r="B565" s="29"/>
      <c r="D565" s="29"/>
    </row>
    <row r="566" ht="15.75" customHeight="1">
      <c r="B566" s="29"/>
      <c r="D566" s="29"/>
    </row>
    <row r="567" ht="15.75" customHeight="1">
      <c r="B567" s="29"/>
      <c r="D567" s="29"/>
    </row>
    <row r="568" ht="15.75" customHeight="1">
      <c r="B568" s="29"/>
      <c r="D568" s="29"/>
    </row>
    <row r="569" ht="15.75" customHeight="1">
      <c r="B569" s="29"/>
      <c r="D569" s="29"/>
    </row>
    <row r="570" ht="15.75" customHeight="1">
      <c r="B570" s="29"/>
      <c r="D570" s="29"/>
    </row>
    <row r="571" ht="15.75" customHeight="1">
      <c r="B571" s="29"/>
      <c r="D571" s="29"/>
    </row>
    <row r="572" ht="15.75" customHeight="1">
      <c r="B572" s="29"/>
      <c r="D572" s="29"/>
    </row>
    <row r="573" ht="15.75" customHeight="1">
      <c r="B573" s="29"/>
      <c r="D573" s="29"/>
    </row>
    <row r="574" ht="15.75" customHeight="1">
      <c r="B574" s="29"/>
      <c r="D574" s="29"/>
    </row>
    <row r="575" ht="15.75" customHeight="1">
      <c r="B575" s="29"/>
      <c r="D575" s="29"/>
    </row>
    <row r="576" ht="15.75" customHeight="1">
      <c r="B576" s="29"/>
      <c r="D576" s="29"/>
    </row>
    <row r="577" ht="15.75" customHeight="1">
      <c r="B577" s="29"/>
      <c r="D577" s="29"/>
    </row>
    <row r="578" ht="15.75" customHeight="1">
      <c r="B578" s="29"/>
      <c r="D578" s="29"/>
    </row>
    <row r="579" ht="15.75" customHeight="1">
      <c r="B579" s="29"/>
      <c r="D579" s="29"/>
    </row>
    <row r="580" ht="15.75" customHeight="1">
      <c r="B580" s="29"/>
      <c r="D580" s="29"/>
    </row>
    <row r="581" ht="15.75" customHeight="1">
      <c r="B581" s="29"/>
      <c r="D581" s="29"/>
    </row>
    <row r="582" ht="15.75" customHeight="1">
      <c r="B582" s="29"/>
      <c r="D582" s="29"/>
    </row>
    <row r="583" ht="15.75" customHeight="1">
      <c r="B583" s="29"/>
      <c r="D583" s="29"/>
    </row>
    <row r="584" ht="15.75" customHeight="1">
      <c r="B584" s="29"/>
      <c r="D584" s="29"/>
    </row>
    <row r="585" ht="15.75" customHeight="1">
      <c r="B585" s="29"/>
      <c r="D585" s="29"/>
    </row>
    <row r="586" ht="15.75" customHeight="1">
      <c r="B586" s="29"/>
      <c r="D586" s="29"/>
    </row>
    <row r="587" ht="15.75" customHeight="1">
      <c r="B587" s="29"/>
      <c r="D587" s="29"/>
    </row>
    <row r="588" ht="15.75" customHeight="1">
      <c r="B588" s="29"/>
      <c r="D588" s="29"/>
    </row>
    <row r="589" ht="15.75" customHeight="1">
      <c r="B589" s="29"/>
      <c r="D589" s="29"/>
    </row>
    <row r="590" ht="15.75" customHeight="1">
      <c r="B590" s="29"/>
      <c r="D590" s="29"/>
    </row>
    <row r="591" ht="15.75" customHeight="1">
      <c r="B591" s="29"/>
      <c r="D591" s="29"/>
    </row>
    <row r="592" ht="15.75" customHeight="1">
      <c r="B592" s="29"/>
      <c r="D592" s="29"/>
    </row>
    <row r="593" ht="15.75" customHeight="1">
      <c r="B593" s="29"/>
      <c r="D593" s="29"/>
    </row>
    <row r="594" ht="15.75" customHeight="1">
      <c r="B594" s="29"/>
      <c r="D594" s="29"/>
    </row>
    <row r="595" ht="15.75" customHeight="1">
      <c r="B595" s="29"/>
      <c r="D595" s="29"/>
    </row>
    <row r="596" ht="15.75" customHeight="1">
      <c r="B596" s="29"/>
      <c r="D596" s="29"/>
    </row>
    <row r="597" ht="15.75" customHeight="1">
      <c r="B597" s="29"/>
      <c r="D597" s="29"/>
    </row>
    <row r="598" ht="15.75" customHeight="1">
      <c r="B598" s="29"/>
      <c r="D598" s="29"/>
    </row>
    <row r="599" ht="15.75" customHeight="1">
      <c r="B599" s="29"/>
      <c r="D599" s="29"/>
    </row>
    <row r="600" ht="15.75" customHeight="1">
      <c r="B600" s="29"/>
      <c r="D600" s="29"/>
    </row>
    <row r="601" ht="15.75" customHeight="1">
      <c r="B601" s="29"/>
      <c r="D601" s="29"/>
    </row>
    <row r="602" ht="15.75" customHeight="1">
      <c r="B602" s="29"/>
      <c r="D602" s="29"/>
    </row>
    <row r="603" ht="15.75" customHeight="1">
      <c r="B603" s="29"/>
      <c r="D603" s="29"/>
    </row>
    <row r="604" ht="15.75" customHeight="1">
      <c r="B604" s="29"/>
      <c r="D604" s="29"/>
    </row>
    <row r="605" ht="15.75" customHeight="1">
      <c r="B605" s="29"/>
      <c r="D605" s="29"/>
    </row>
    <row r="606" ht="15.75" customHeight="1">
      <c r="B606" s="29"/>
      <c r="D606" s="29"/>
    </row>
    <row r="607" ht="15.75" customHeight="1">
      <c r="B607" s="29"/>
      <c r="D607" s="29"/>
    </row>
    <row r="608" ht="15.75" customHeight="1">
      <c r="B608" s="29"/>
      <c r="D608" s="29"/>
    </row>
    <row r="609" ht="15.75" customHeight="1">
      <c r="B609" s="29"/>
      <c r="D609" s="29"/>
    </row>
    <row r="610" ht="15.75" customHeight="1">
      <c r="B610" s="29"/>
      <c r="D610" s="29"/>
    </row>
    <row r="611" ht="15.75" customHeight="1">
      <c r="B611" s="29"/>
      <c r="D611" s="29"/>
    </row>
    <row r="612" ht="15.75" customHeight="1">
      <c r="B612" s="29"/>
      <c r="D612" s="29"/>
    </row>
    <row r="613" ht="15.75" customHeight="1">
      <c r="B613" s="29"/>
      <c r="D613" s="29"/>
    </row>
    <row r="614" ht="15.75" customHeight="1">
      <c r="B614" s="29"/>
      <c r="D614" s="29"/>
    </row>
    <row r="615" ht="15.75" customHeight="1">
      <c r="B615" s="29"/>
      <c r="D615" s="29"/>
    </row>
    <row r="616" ht="15.75" customHeight="1">
      <c r="B616" s="29"/>
      <c r="D616" s="29"/>
    </row>
    <row r="617" ht="15.75" customHeight="1">
      <c r="B617" s="29"/>
      <c r="D617" s="29"/>
    </row>
    <row r="618" ht="15.75" customHeight="1">
      <c r="B618" s="29"/>
      <c r="D618" s="29"/>
    </row>
    <row r="619" ht="15.75" customHeight="1">
      <c r="B619" s="29"/>
      <c r="D619" s="29"/>
    </row>
    <row r="620" ht="15.75" customHeight="1">
      <c r="B620" s="29"/>
      <c r="D620" s="29"/>
    </row>
    <row r="621" ht="15.75" customHeight="1">
      <c r="B621" s="29"/>
      <c r="D621" s="29"/>
    </row>
    <row r="622" ht="15.75" customHeight="1">
      <c r="B622" s="29"/>
      <c r="D622" s="29"/>
    </row>
    <row r="623" ht="15.75" customHeight="1">
      <c r="B623" s="29"/>
      <c r="D623" s="29"/>
    </row>
    <row r="624" ht="15.75" customHeight="1">
      <c r="B624" s="29"/>
      <c r="D624" s="29"/>
    </row>
    <row r="625" ht="15.75" customHeight="1">
      <c r="B625" s="29"/>
      <c r="D625" s="29"/>
    </row>
    <row r="626" ht="15.75" customHeight="1">
      <c r="B626" s="29"/>
      <c r="D626" s="29"/>
    </row>
    <row r="627" ht="15.75" customHeight="1">
      <c r="B627" s="29"/>
      <c r="D627" s="29"/>
    </row>
    <row r="628" ht="15.75" customHeight="1">
      <c r="B628" s="29"/>
      <c r="D628" s="29"/>
    </row>
    <row r="629" ht="15.75" customHeight="1">
      <c r="B629" s="29"/>
      <c r="D629" s="29"/>
    </row>
    <row r="630" ht="15.75" customHeight="1">
      <c r="B630" s="29"/>
      <c r="D630" s="29"/>
    </row>
    <row r="631" ht="15.75" customHeight="1">
      <c r="B631" s="29"/>
      <c r="D631" s="29"/>
    </row>
    <row r="632" ht="15.75" customHeight="1">
      <c r="B632" s="29"/>
      <c r="D632" s="29"/>
    </row>
    <row r="633" ht="15.75" customHeight="1">
      <c r="B633" s="29"/>
      <c r="D633" s="29"/>
    </row>
    <row r="634" ht="15.75" customHeight="1">
      <c r="B634" s="29"/>
      <c r="D634" s="29"/>
    </row>
    <row r="635" ht="15.75" customHeight="1">
      <c r="B635" s="29"/>
      <c r="D635" s="29"/>
    </row>
    <row r="636" ht="15.75" customHeight="1">
      <c r="B636" s="29"/>
      <c r="D636" s="29"/>
    </row>
    <row r="637" ht="15.75" customHeight="1">
      <c r="B637" s="29"/>
      <c r="D637" s="29"/>
    </row>
    <row r="638" ht="15.75" customHeight="1">
      <c r="B638" s="29"/>
      <c r="D638" s="29"/>
    </row>
    <row r="639" ht="15.75" customHeight="1">
      <c r="B639" s="29"/>
      <c r="D639" s="29"/>
    </row>
    <row r="640" ht="15.75" customHeight="1">
      <c r="B640" s="29"/>
      <c r="D640" s="29"/>
    </row>
    <row r="641" ht="15.75" customHeight="1">
      <c r="B641" s="29"/>
      <c r="D641" s="29"/>
    </row>
    <row r="642" ht="15.75" customHeight="1">
      <c r="B642" s="29"/>
      <c r="D642" s="29"/>
    </row>
    <row r="643" ht="15.75" customHeight="1">
      <c r="B643" s="29"/>
      <c r="D643" s="29"/>
    </row>
    <row r="644" ht="15.75" customHeight="1">
      <c r="B644" s="29"/>
      <c r="D644" s="29"/>
    </row>
    <row r="645" ht="15.75" customHeight="1">
      <c r="B645" s="29"/>
      <c r="D645" s="29"/>
    </row>
    <row r="646" ht="15.75" customHeight="1">
      <c r="B646" s="29"/>
      <c r="D646" s="29"/>
    </row>
    <row r="647" ht="15.75" customHeight="1">
      <c r="B647" s="29"/>
      <c r="D647" s="29"/>
    </row>
    <row r="648" ht="15.75" customHeight="1">
      <c r="B648" s="29"/>
      <c r="D648" s="29"/>
    </row>
    <row r="649" ht="15.75" customHeight="1">
      <c r="B649" s="29"/>
      <c r="D649" s="29"/>
    </row>
    <row r="650" ht="15.75" customHeight="1">
      <c r="B650" s="29"/>
      <c r="D650" s="29"/>
    </row>
    <row r="651" ht="15.75" customHeight="1">
      <c r="B651" s="29"/>
      <c r="D651" s="29"/>
    </row>
    <row r="652" ht="15.75" customHeight="1">
      <c r="B652" s="29"/>
      <c r="D652" s="29"/>
    </row>
    <row r="653" ht="15.75" customHeight="1">
      <c r="B653" s="29"/>
      <c r="D653" s="29"/>
    </row>
    <row r="654" ht="15.75" customHeight="1">
      <c r="B654" s="29"/>
      <c r="D654" s="29"/>
    </row>
    <row r="655" ht="15.75" customHeight="1">
      <c r="B655" s="29"/>
      <c r="D655" s="29"/>
    </row>
    <row r="656" ht="15.75" customHeight="1">
      <c r="B656" s="29"/>
      <c r="D656" s="29"/>
    </row>
    <row r="657" ht="15.75" customHeight="1">
      <c r="B657" s="29"/>
      <c r="D657" s="29"/>
    </row>
    <row r="658" ht="15.75" customHeight="1">
      <c r="B658" s="29"/>
      <c r="D658" s="29"/>
    </row>
    <row r="659" ht="15.75" customHeight="1">
      <c r="B659" s="29"/>
      <c r="D659" s="29"/>
    </row>
    <row r="660" ht="15.75" customHeight="1">
      <c r="B660" s="29"/>
      <c r="D660" s="29"/>
    </row>
    <row r="661" ht="15.75" customHeight="1">
      <c r="B661" s="29"/>
      <c r="D661" s="29"/>
    </row>
    <row r="662" ht="15.75" customHeight="1">
      <c r="B662" s="29"/>
      <c r="D662" s="29"/>
    </row>
    <row r="663" ht="15.75" customHeight="1">
      <c r="B663" s="29"/>
      <c r="D663" s="29"/>
    </row>
    <row r="664" ht="15.75" customHeight="1">
      <c r="B664" s="29"/>
      <c r="D664" s="29"/>
    </row>
    <row r="665" ht="15.75" customHeight="1">
      <c r="B665" s="29"/>
      <c r="D665" s="29"/>
    </row>
    <row r="666" ht="15.75" customHeight="1">
      <c r="B666" s="29"/>
      <c r="D666" s="29"/>
    </row>
    <row r="667" ht="15.75" customHeight="1">
      <c r="B667" s="29"/>
      <c r="D667" s="29"/>
    </row>
    <row r="668" ht="15.75" customHeight="1">
      <c r="B668" s="29"/>
      <c r="D668" s="29"/>
    </row>
    <row r="669" ht="15.75" customHeight="1">
      <c r="B669" s="29"/>
      <c r="D669" s="29"/>
    </row>
    <row r="670" ht="15.75" customHeight="1">
      <c r="B670" s="29"/>
      <c r="D670" s="29"/>
    </row>
    <row r="671" ht="15.75" customHeight="1">
      <c r="B671" s="29"/>
      <c r="D671" s="29"/>
    </row>
    <row r="672" ht="15.75" customHeight="1">
      <c r="B672" s="29"/>
      <c r="D672" s="29"/>
    </row>
    <row r="673" ht="15.75" customHeight="1">
      <c r="B673" s="29"/>
      <c r="D673" s="29"/>
    </row>
    <row r="674" ht="15.75" customHeight="1">
      <c r="B674" s="29"/>
      <c r="D674" s="29"/>
    </row>
    <row r="675" ht="15.75" customHeight="1">
      <c r="B675" s="29"/>
      <c r="D675" s="29"/>
    </row>
    <row r="676" ht="15.75" customHeight="1">
      <c r="B676" s="29"/>
      <c r="D676" s="29"/>
    </row>
    <row r="677" ht="15.75" customHeight="1">
      <c r="B677" s="29"/>
      <c r="D677" s="29"/>
    </row>
    <row r="678" ht="15.75" customHeight="1">
      <c r="B678" s="29"/>
      <c r="D678" s="29"/>
    </row>
    <row r="679" ht="15.75" customHeight="1">
      <c r="B679" s="29"/>
      <c r="D679" s="29"/>
    </row>
    <row r="680" ht="15.75" customHeight="1">
      <c r="B680" s="29"/>
      <c r="D680" s="29"/>
    </row>
    <row r="681" ht="15.75" customHeight="1">
      <c r="B681" s="29"/>
      <c r="D681" s="29"/>
    </row>
    <row r="682" ht="15.75" customHeight="1">
      <c r="B682" s="29"/>
      <c r="D682" s="29"/>
    </row>
    <row r="683" ht="15.75" customHeight="1">
      <c r="B683" s="29"/>
      <c r="D683" s="29"/>
    </row>
    <row r="684" ht="15.75" customHeight="1">
      <c r="B684" s="29"/>
      <c r="D684" s="29"/>
    </row>
    <row r="685" ht="15.75" customHeight="1">
      <c r="B685" s="29"/>
      <c r="D685" s="29"/>
    </row>
    <row r="686" ht="15.75" customHeight="1">
      <c r="B686" s="29"/>
      <c r="D686" s="29"/>
    </row>
    <row r="687" ht="15.75" customHeight="1">
      <c r="B687" s="29"/>
      <c r="D687" s="29"/>
    </row>
    <row r="688" ht="15.75" customHeight="1">
      <c r="B688" s="29"/>
      <c r="D688" s="29"/>
    </row>
    <row r="689" ht="15.75" customHeight="1">
      <c r="B689" s="29"/>
      <c r="D689" s="29"/>
    </row>
    <row r="690" ht="15.75" customHeight="1">
      <c r="B690" s="29"/>
      <c r="D690" s="29"/>
    </row>
    <row r="691" ht="15.75" customHeight="1">
      <c r="B691" s="29"/>
      <c r="D691" s="29"/>
    </row>
    <row r="692" ht="15.75" customHeight="1">
      <c r="B692" s="29"/>
      <c r="D692" s="29"/>
    </row>
    <row r="693" ht="15.75" customHeight="1">
      <c r="B693" s="29"/>
      <c r="D693" s="29"/>
    </row>
    <row r="694" ht="15.75" customHeight="1">
      <c r="B694" s="29"/>
      <c r="D694" s="29"/>
    </row>
    <row r="695" ht="15.75" customHeight="1">
      <c r="B695" s="29"/>
      <c r="D695" s="29"/>
    </row>
    <row r="696" ht="15.75" customHeight="1">
      <c r="B696" s="29"/>
      <c r="D696" s="29"/>
    </row>
    <row r="697" ht="15.75" customHeight="1">
      <c r="B697" s="29"/>
      <c r="D697" s="29"/>
    </row>
    <row r="698" ht="15.75" customHeight="1">
      <c r="B698" s="29"/>
      <c r="D698" s="29"/>
    </row>
    <row r="699" ht="15.75" customHeight="1">
      <c r="B699" s="29"/>
      <c r="D699" s="29"/>
    </row>
    <row r="700" ht="15.75" customHeight="1">
      <c r="B700" s="29"/>
      <c r="D700" s="29"/>
    </row>
    <row r="701" ht="15.75" customHeight="1">
      <c r="B701" s="29"/>
      <c r="D701" s="29"/>
    </row>
    <row r="702" ht="15.75" customHeight="1">
      <c r="B702" s="29"/>
      <c r="D702" s="29"/>
    </row>
    <row r="703" ht="15.75" customHeight="1">
      <c r="B703" s="29"/>
      <c r="D703" s="29"/>
    </row>
    <row r="704" ht="15.75" customHeight="1">
      <c r="B704" s="29"/>
      <c r="D704" s="29"/>
    </row>
    <row r="705" ht="15.75" customHeight="1">
      <c r="B705" s="29"/>
      <c r="D705" s="29"/>
    </row>
    <row r="706" ht="15.75" customHeight="1">
      <c r="B706" s="29"/>
      <c r="D706" s="29"/>
    </row>
    <row r="707" ht="15.75" customHeight="1">
      <c r="B707" s="29"/>
      <c r="D707" s="29"/>
    </row>
    <row r="708" ht="15.75" customHeight="1">
      <c r="B708" s="29"/>
      <c r="D708" s="29"/>
    </row>
    <row r="709" ht="15.75" customHeight="1">
      <c r="B709" s="29"/>
      <c r="D709" s="29"/>
    </row>
    <row r="710" ht="15.75" customHeight="1">
      <c r="B710" s="29"/>
      <c r="D710" s="29"/>
    </row>
    <row r="711" ht="15.75" customHeight="1">
      <c r="B711" s="29"/>
      <c r="D711" s="29"/>
    </row>
    <row r="712" ht="15.75" customHeight="1">
      <c r="B712" s="29"/>
      <c r="D712" s="29"/>
    </row>
    <row r="713" ht="15.75" customHeight="1">
      <c r="B713" s="29"/>
      <c r="D713" s="29"/>
    </row>
    <row r="714" ht="15.75" customHeight="1">
      <c r="B714" s="29"/>
      <c r="D714" s="29"/>
    </row>
    <row r="715" ht="15.75" customHeight="1">
      <c r="B715" s="29"/>
      <c r="D715" s="29"/>
    </row>
    <row r="716" ht="15.75" customHeight="1">
      <c r="B716" s="29"/>
      <c r="D716" s="29"/>
    </row>
    <row r="717" ht="15.75" customHeight="1">
      <c r="B717" s="29"/>
      <c r="D717" s="29"/>
    </row>
    <row r="718" ht="15.75" customHeight="1">
      <c r="B718" s="29"/>
      <c r="D718" s="29"/>
    </row>
    <row r="719" ht="15.75" customHeight="1">
      <c r="B719" s="29"/>
      <c r="D719" s="29"/>
    </row>
    <row r="720" ht="15.75" customHeight="1">
      <c r="B720" s="29"/>
      <c r="D720" s="29"/>
    </row>
    <row r="721" ht="15.75" customHeight="1">
      <c r="B721" s="29"/>
      <c r="D721" s="29"/>
    </row>
    <row r="722" ht="15.75" customHeight="1">
      <c r="B722" s="29"/>
      <c r="D722" s="29"/>
    </row>
    <row r="723" ht="15.75" customHeight="1">
      <c r="B723" s="29"/>
      <c r="D723" s="29"/>
    </row>
    <row r="724" ht="15.75" customHeight="1">
      <c r="B724" s="29"/>
      <c r="D724" s="29"/>
    </row>
    <row r="725" ht="15.75" customHeight="1">
      <c r="B725" s="29"/>
      <c r="D725" s="29"/>
    </row>
    <row r="726" ht="15.75" customHeight="1">
      <c r="B726" s="29"/>
      <c r="D726" s="29"/>
    </row>
    <row r="727" ht="15.75" customHeight="1">
      <c r="B727" s="29"/>
      <c r="D727" s="29"/>
    </row>
    <row r="728" ht="15.75" customHeight="1">
      <c r="B728" s="29"/>
      <c r="D728" s="29"/>
    </row>
    <row r="729" ht="15.75" customHeight="1">
      <c r="B729" s="29"/>
      <c r="D729" s="29"/>
    </row>
    <row r="730" ht="15.75" customHeight="1">
      <c r="B730" s="29"/>
      <c r="D730" s="29"/>
    </row>
    <row r="731" ht="15.75" customHeight="1">
      <c r="B731" s="29"/>
      <c r="D731" s="29"/>
    </row>
    <row r="732" ht="15.75" customHeight="1">
      <c r="B732" s="29"/>
      <c r="D732" s="29"/>
    </row>
    <row r="733" ht="15.75" customHeight="1">
      <c r="B733" s="29"/>
      <c r="D733" s="29"/>
    </row>
    <row r="734" ht="15.75" customHeight="1">
      <c r="B734" s="29"/>
      <c r="D734" s="29"/>
    </row>
    <row r="735" ht="15.75" customHeight="1">
      <c r="B735" s="29"/>
      <c r="D735" s="29"/>
    </row>
    <row r="736" ht="15.75" customHeight="1">
      <c r="B736" s="29"/>
      <c r="D736" s="29"/>
    </row>
    <row r="737" ht="15.75" customHeight="1">
      <c r="B737" s="29"/>
      <c r="D737" s="29"/>
    </row>
    <row r="738" ht="15.75" customHeight="1">
      <c r="B738" s="29"/>
      <c r="D738" s="29"/>
    </row>
    <row r="739" ht="15.75" customHeight="1">
      <c r="B739" s="29"/>
      <c r="D739" s="29"/>
    </row>
    <row r="740" ht="15.75" customHeight="1">
      <c r="B740" s="29"/>
      <c r="D740" s="29"/>
    </row>
    <row r="741" ht="15.75" customHeight="1">
      <c r="B741" s="29"/>
      <c r="D741" s="29"/>
    </row>
    <row r="742" ht="15.75" customHeight="1">
      <c r="B742" s="29"/>
      <c r="D742" s="29"/>
    </row>
    <row r="743" ht="15.75" customHeight="1">
      <c r="B743" s="29"/>
      <c r="D743" s="29"/>
    </row>
    <row r="744" ht="15.75" customHeight="1">
      <c r="B744" s="29"/>
      <c r="D744" s="29"/>
    </row>
    <row r="745" ht="15.75" customHeight="1">
      <c r="B745" s="29"/>
      <c r="D745" s="29"/>
    </row>
    <row r="746" ht="15.75" customHeight="1">
      <c r="B746" s="29"/>
      <c r="D746" s="29"/>
    </row>
    <row r="747" ht="15.75" customHeight="1">
      <c r="B747" s="29"/>
      <c r="D747" s="29"/>
    </row>
    <row r="748" ht="15.75" customHeight="1">
      <c r="B748" s="29"/>
      <c r="D748" s="29"/>
    </row>
    <row r="749" ht="15.75" customHeight="1">
      <c r="B749" s="29"/>
      <c r="D749" s="29"/>
    </row>
    <row r="750" ht="15.75" customHeight="1">
      <c r="B750" s="29"/>
      <c r="D750" s="29"/>
    </row>
    <row r="751" ht="15.75" customHeight="1">
      <c r="B751" s="29"/>
      <c r="D751" s="29"/>
    </row>
    <row r="752" ht="15.75" customHeight="1">
      <c r="B752" s="29"/>
      <c r="D752" s="29"/>
    </row>
    <row r="753" ht="15.75" customHeight="1">
      <c r="B753" s="29"/>
      <c r="D753" s="29"/>
    </row>
    <row r="754" ht="15.75" customHeight="1">
      <c r="B754" s="29"/>
      <c r="D754" s="29"/>
    </row>
    <row r="755" ht="15.75" customHeight="1">
      <c r="B755" s="29"/>
      <c r="D755" s="29"/>
    </row>
    <row r="756" ht="15.75" customHeight="1">
      <c r="B756" s="29"/>
      <c r="D756" s="29"/>
    </row>
    <row r="757" ht="15.75" customHeight="1">
      <c r="B757" s="29"/>
      <c r="D757" s="29"/>
    </row>
    <row r="758" ht="15.75" customHeight="1">
      <c r="B758" s="29"/>
      <c r="D758" s="29"/>
    </row>
    <row r="759" ht="15.75" customHeight="1">
      <c r="B759" s="29"/>
      <c r="D759" s="29"/>
    </row>
    <row r="760" ht="15.75" customHeight="1">
      <c r="B760" s="29"/>
      <c r="D760" s="29"/>
    </row>
    <row r="761" ht="15.75" customHeight="1">
      <c r="B761" s="29"/>
      <c r="D761" s="29"/>
    </row>
    <row r="762" ht="15.75" customHeight="1">
      <c r="B762" s="29"/>
      <c r="D762" s="29"/>
    </row>
    <row r="763" ht="15.75" customHeight="1">
      <c r="B763" s="29"/>
      <c r="D763" s="29"/>
    </row>
    <row r="764" ht="15.75" customHeight="1">
      <c r="B764" s="29"/>
      <c r="D764" s="29"/>
    </row>
    <row r="765" ht="15.75" customHeight="1">
      <c r="B765" s="29"/>
      <c r="D765" s="29"/>
    </row>
    <row r="766" ht="15.75" customHeight="1">
      <c r="B766" s="29"/>
      <c r="D766" s="29"/>
    </row>
    <row r="767" ht="15.75" customHeight="1">
      <c r="B767" s="29"/>
      <c r="D767" s="29"/>
    </row>
    <row r="768" ht="15.75" customHeight="1">
      <c r="B768" s="29"/>
      <c r="D768" s="29"/>
    </row>
    <row r="769" ht="15.75" customHeight="1">
      <c r="B769" s="29"/>
      <c r="D769" s="29"/>
    </row>
    <row r="770" ht="15.75" customHeight="1">
      <c r="B770" s="29"/>
      <c r="D770" s="29"/>
    </row>
    <row r="771" ht="15.75" customHeight="1">
      <c r="B771" s="29"/>
      <c r="D771" s="29"/>
    </row>
    <row r="772" ht="15.75" customHeight="1">
      <c r="B772" s="29"/>
      <c r="D772" s="29"/>
    </row>
    <row r="773" ht="15.75" customHeight="1">
      <c r="B773" s="29"/>
      <c r="D773" s="29"/>
    </row>
    <row r="774" ht="15.75" customHeight="1">
      <c r="B774" s="29"/>
      <c r="D774" s="29"/>
    </row>
    <row r="775" ht="15.75" customHeight="1">
      <c r="B775" s="29"/>
      <c r="D775" s="29"/>
    </row>
    <row r="776" ht="15.75" customHeight="1">
      <c r="B776" s="29"/>
      <c r="D776" s="29"/>
    </row>
    <row r="777" ht="15.75" customHeight="1">
      <c r="B777" s="29"/>
      <c r="D777" s="29"/>
    </row>
    <row r="778" ht="15.75" customHeight="1">
      <c r="B778" s="29"/>
      <c r="D778" s="29"/>
    </row>
    <row r="779" ht="15.75" customHeight="1">
      <c r="B779" s="29"/>
      <c r="D779" s="29"/>
    </row>
    <row r="780" ht="15.75" customHeight="1">
      <c r="B780" s="29"/>
      <c r="D780" s="29"/>
    </row>
    <row r="781" ht="15.75" customHeight="1">
      <c r="B781" s="29"/>
      <c r="D781" s="29"/>
    </row>
    <row r="782" ht="15.75" customHeight="1">
      <c r="B782" s="29"/>
      <c r="D782" s="29"/>
    </row>
    <row r="783" ht="15.75" customHeight="1">
      <c r="B783" s="29"/>
      <c r="D783" s="29"/>
    </row>
    <row r="784" ht="15.75" customHeight="1">
      <c r="B784" s="29"/>
      <c r="D784" s="29"/>
    </row>
    <row r="785" ht="15.75" customHeight="1">
      <c r="B785" s="29"/>
      <c r="D785" s="29"/>
    </row>
    <row r="786" ht="15.75" customHeight="1">
      <c r="B786" s="29"/>
      <c r="D786" s="29"/>
    </row>
    <row r="787" ht="15.75" customHeight="1">
      <c r="B787" s="29"/>
      <c r="D787" s="29"/>
    </row>
    <row r="788" ht="15.75" customHeight="1">
      <c r="B788" s="29"/>
      <c r="D788" s="29"/>
    </row>
    <row r="789" ht="15.75" customHeight="1">
      <c r="B789" s="29"/>
      <c r="D789" s="29"/>
    </row>
    <row r="790" ht="15.75" customHeight="1">
      <c r="B790" s="29"/>
      <c r="D790" s="29"/>
    </row>
    <row r="791" ht="15.75" customHeight="1">
      <c r="B791" s="29"/>
      <c r="D791" s="29"/>
    </row>
    <row r="792" ht="15.75" customHeight="1">
      <c r="B792" s="29"/>
      <c r="D792" s="29"/>
    </row>
    <row r="793" ht="15.75" customHeight="1">
      <c r="B793" s="29"/>
      <c r="D793" s="29"/>
    </row>
    <row r="794" ht="15.75" customHeight="1">
      <c r="B794" s="29"/>
      <c r="D794" s="29"/>
    </row>
    <row r="795" ht="15.75" customHeight="1">
      <c r="B795" s="29"/>
      <c r="D795" s="29"/>
    </row>
    <row r="796" ht="15.75" customHeight="1">
      <c r="B796" s="29"/>
      <c r="D796" s="29"/>
    </row>
    <row r="797" ht="15.75" customHeight="1">
      <c r="B797" s="29"/>
      <c r="D797" s="29"/>
    </row>
    <row r="798" ht="15.75" customHeight="1">
      <c r="B798" s="29"/>
      <c r="D798" s="29"/>
    </row>
    <row r="799" ht="15.75" customHeight="1">
      <c r="B799" s="29"/>
      <c r="D799" s="29"/>
    </row>
    <row r="800" ht="15.75" customHeight="1">
      <c r="B800" s="29"/>
      <c r="D800" s="29"/>
    </row>
    <row r="801" ht="15.75" customHeight="1">
      <c r="B801" s="29"/>
      <c r="D801" s="29"/>
    </row>
    <row r="802" ht="15.75" customHeight="1">
      <c r="B802" s="29"/>
      <c r="D802" s="29"/>
    </row>
    <row r="803" ht="15.75" customHeight="1">
      <c r="B803" s="29"/>
      <c r="D803" s="29"/>
    </row>
    <row r="804" ht="15.75" customHeight="1">
      <c r="B804" s="29"/>
      <c r="D804" s="29"/>
    </row>
    <row r="805" ht="15.75" customHeight="1">
      <c r="B805" s="29"/>
      <c r="D805" s="29"/>
    </row>
    <row r="806" ht="15.75" customHeight="1">
      <c r="B806" s="29"/>
      <c r="D806" s="29"/>
    </row>
    <row r="807" ht="15.75" customHeight="1">
      <c r="B807" s="29"/>
      <c r="D807" s="29"/>
    </row>
    <row r="808" ht="15.75" customHeight="1">
      <c r="B808" s="29"/>
      <c r="D808" s="29"/>
    </row>
    <row r="809" ht="15.75" customHeight="1">
      <c r="B809" s="29"/>
      <c r="D809" s="29"/>
    </row>
    <row r="810" ht="15.75" customHeight="1">
      <c r="B810" s="29"/>
      <c r="D810" s="29"/>
    </row>
    <row r="811" ht="15.75" customHeight="1">
      <c r="B811" s="29"/>
      <c r="D811" s="29"/>
    </row>
    <row r="812" ht="15.75" customHeight="1">
      <c r="B812" s="29"/>
      <c r="D812" s="29"/>
    </row>
    <row r="813" ht="15.75" customHeight="1">
      <c r="B813" s="29"/>
      <c r="D813" s="29"/>
    </row>
    <row r="814" ht="15.75" customHeight="1">
      <c r="B814" s="29"/>
      <c r="D814" s="29"/>
    </row>
    <row r="815" ht="15.75" customHeight="1">
      <c r="B815" s="29"/>
      <c r="D815" s="29"/>
    </row>
    <row r="816" ht="15.75" customHeight="1">
      <c r="B816" s="29"/>
      <c r="D816" s="29"/>
    </row>
    <row r="817" ht="15.75" customHeight="1">
      <c r="B817" s="29"/>
      <c r="D817" s="29"/>
    </row>
    <row r="818" ht="15.75" customHeight="1">
      <c r="B818" s="29"/>
      <c r="D818" s="29"/>
    </row>
    <row r="819" ht="15.75" customHeight="1">
      <c r="B819" s="29"/>
      <c r="D819" s="29"/>
    </row>
    <row r="820" ht="15.75" customHeight="1">
      <c r="B820" s="29"/>
      <c r="D820" s="29"/>
    </row>
    <row r="821" ht="15.75" customHeight="1">
      <c r="B821" s="29"/>
      <c r="D821" s="29"/>
    </row>
    <row r="822" ht="15.75" customHeight="1">
      <c r="B822" s="29"/>
      <c r="D822" s="29"/>
    </row>
    <row r="823" ht="15.75" customHeight="1">
      <c r="B823" s="29"/>
      <c r="D823" s="29"/>
    </row>
    <row r="824" ht="15.75" customHeight="1">
      <c r="B824" s="29"/>
      <c r="D824" s="29"/>
    </row>
    <row r="825" ht="15.75" customHeight="1">
      <c r="B825" s="29"/>
      <c r="D825" s="29"/>
    </row>
    <row r="826" ht="15.75" customHeight="1">
      <c r="B826" s="29"/>
      <c r="D826" s="29"/>
    </row>
    <row r="827" ht="15.75" customHeight="1">
      <c r="B827" s="29"/>
      <c r="D827" s="29"/>
    </row>
    <row r="828" ht="15.75" customHeight="1">
      <c r="B828" s="29"/>
      <c r="D828" s="29"/>
    </row>
    <row r="829" ht="15.75" customHeight="1">
      <c r="B829" s="29"/>
      <c r="D829" s="29"/>
    </row>
    <row r="830" ht="15.75" customHeight="1">
      <c r="B830" s="29"/>
      <c r="D830" s="29"/>
    </row>
    <row r="831" ht="15.75" customHeight="1">
      <c r="B831" s="29"/>
      <c r="D831" s="29"/>
    </row>
    <row r="832" ht="15.75" customHeight="1">
      <c r="B832" s="29"/>
      <c r="D832" s="29"/>
    </row>
    <row r="833" ht="15.75" customHeight="1">
      <c r="B833" s="29"/>
      <c r="D833" s="29"/>
    </row>
    <row r="834" ht="15.75" customHeight="1">
      <c r="B834" s="29"/>
      <c r="D834" s="29"/>
    </row>
    <row r="835" ht="15.75" customHeight="1">
      <c r="B835" s="29"/>
      <c r="D835" s="29"/>
    </row>
    <row r="836" ht="15.75" customHeight="1">
      <c r="B836" s="29"/>
      <c r="D836" s="29"/>
    </row>
    <row r="837" ht="15.75" customHeight="1">
      <c r="B837" s="29"/>
      <c r="D837" s="29"/>
    </row>
    <row r="838" ht="15.75" customHeight="1">
      <c r="B838" s="29"/>
      <c r="D838" s="29"/>
    </row>
    <row r="839" ht="15.75" customHeight="1">
      <c r="B839" s="29"/>
      <c r="D839" s="29"/>
    </row>
    <row r="840" ht="15.75" customHeight="1">
      <c r="B840" s="29"/>
      <c r="D840" s="29"/>
    </row>
    <row r="841" ht="15.75" customHeight="1">
      <c r="B841" s="29"/>
      <c r="D841" s="29"/>
    </row>
    <row r="842" ht="15.75" customHeight="1">
      <c r="B842" s="29"/>
      <c r="D842" s="29"/>
    </row>
    <row r="843" ht="15.75" customHeight="1">
      <c r="B843" s="29"/>
      <c r="D843" s="29"/>
    </row>
    <row r="844" ht="15.75" customHeight="1">
      <c r="B844" s="29"/>
      <c r="D844" s="29"/>
    </row>
    <row r="845" ht="15.75" customHeight="1">
      <c r="B845" s="29"/>
      <c r="D845" s="29"/>
    </row>
    <row r="846" ht="15.75" customHeight="1">
      <c r="B846" s="29"/>
      <c r="D846" s="29"/>
    </row>
    <row r="847" ht="15.75" customHeight="1">
      <c r="B847" s="29"/>
      <c r="D847" s="29"/>
    </row>
    <row r="848" ht="15.75" customHeight="1">
      <c r="B848" s="29"/>
      <c r="D848" s="29"/>
    </row>
    <row r="849" ht="15.75" customHeight="1">
      <c r="B849" s="29"/>
      <c r="D849" s="29"/>
    </row>
    <row r="850" ht="15.75" customHeight="1">
      <c r="B850" s="29"/>
      <c r="D850" s="29"/>
    </row>
    <row r="851" ht="15.75" customHeight="1">
      <c r="B851" s="29"/>
      <c r="D851" s="29"/>
    </row>
    <row r="852" ht="15.75" customHeight="1">
      <c r="B852" s="29"/>
      <c r="D852" s="29"/>
    </row>
    <row r="853" ht="15.75" customHeight="1">
      <c r="B853" s="29"/>
      <c r="D853" s="29"/>
    </row>
    <row r="854" ht="15.75" customHeight="1">
      <c r="B854" s="29"/>
      <c r="D854" s="29"/>
    </row>
    <row r="855" ht="15.75" customHeight="1">
      <c r="B855" s="29"/>
      <c r="D855" s="29"/>
    </row>
    <row r="856" ht="15.75" customHeight="1">
      <c r="B856" s="29"/>
      <c r="D856" s="29"/>
    </row>
    <row r="857" ht="15.75" customHeight="1">
      <c r="B857" s="29"/>
      <c r="D857" s="29"/>
    </row>
    <row r="858" ht="15.75" customHeight="1">
      <c r="B858" s="29"/>
      <c r="D858" s="29"/>
    </row>
    <row r="859" ht="15.75" customHeight="1">
      <c r="B859" s="29"/>
      <c r="D859" s="29"/>
    </row>
    <row r="860" ht="15.75" customHeight="1">
      <c r="B860" s="29"/>
      <c r="D860" s="29"/>
    </row>
    <row r="861" ht="15.75" customHeight="1">
      <c r="B861" s="29"/>
      <c r="D861" s="29"/>
    </row>
    <row r="862" ht="15.75" customHeight="1">
      <c r="B862" s="29"/>
      <c r="D862" s="29"/>
    </row>
    <row r="863" ht="15.75" customHeight="1">
      <c r="B863" s="29"/>
      <c r="D863" s="29"/>
    </row>
    <row r="864" ht="15.75" customHeight="1">
      <c r="B864" s="29"/>
      <c r="D864" s="29"/>
    </row>
    <row r="865" ht="15.75" customHeight="1">
      <c r="B865" s="29"/>
      <c r="D865" s="29"/>
    </row>
    <row r="866" ht="15.75" customHeight="1">
      <c r="B866" s="29"/>
      <c r="D866" s="29"/>
    </row>
    <row r="867" ht="15.75" customHeight="1">
      <c r="B867" s="29"/>
      <c r="D867" s="29"/>
    </row>
    <row r="868" ht="15.75" customHeight="1">
      <c r="B868" s="29"/>
      <c r="D868" s="29"/>
    </row>
    <row r="869" ht="15.75" customHeight="1">
      <c r="B869" s="29"/>
      <c r="D869" s="29"/>
    </row>
    <row r="870" ht="15.75" customHeight="1">
      <c r="B870" s="29"/>
      <c r="D870" s="29"/>
    </row>
    <row r="871" ht="15.75" customHeight="1">
      <c r="B871" s="29"/>
      <c r="D871" s="29"/>
    </row>
    <row r="872" ht="15.75" customHeight="1">
      <c r="B872" s="29"/>
      <c r="D872" s="29"/>
    </row>
    <row r="873" ht="15.75" customHeight="1">
      <c r="B873" s="29"/>
      <c r="D873" s="29"/>
    </row>
    <row r="874" ht="15.75" customHeight="1">
      <c r="B874" s="29"/>
      <c r="D874" s="29"/>
    </row>
    <row r="875" ht="15.75" customHeight="1">
      <c r="B875" s="29"/>
      <c r="D875" s="29"/>
    </row>
    <row r="876" ht="15.75" customHeight="1">
      <c r="B876" s="29"/>
      <c r="D876" s="29"/>
    </row>
    <row r="877" ht="15.75" customHeight="1">
      <c r="B877" s="29"/>
      <c r="D877" s="29"/>
    </row>
    <row r="878" ht="15.75" customHeight="1">
      <c r="B878" s="29"/>
      <c r="D878" s="29"/>
    </row>
    <row r="879" ht="15.75" customHeight="1">
      <c r="B879" s="29"/>
      <c r="D879" s="29"/>
    </row>
    <row r="880" ht="15.75" customHeight="1">
      <c r="B880" s="29"/>
      <c r="D880" s="29"/>
    </row>
    <row r="881" ht="15.75" customHeight="1">
      <c r="B881" s="29"/>
      <c r="D881" s="29"/>
    </row>
    <row r="882" ht="15.75" customHeight="1">
      <c r="B882" s="29"/>
      <c r="D882" s="29"/>
    </row>
    <row r="883" ht="15.75" customHeight="1">
      <c r="B883" s="29"/>
      <c r="D883" s="29"/>
    </row>
    <row r="884" ht="15.75" customHeight="1">
      <c r="B884" s="29"/>
      <c r="D884" s="29"/>
    </row>
    <row r="885" ht="15.75" customHeight="1">
      <c r="B885" s="29"/>
      <c r="D885" s="29"/>
    </row>
    <row r="886" ht="15.75" customHeight="1">
      <c r="B886" s="29"/>
      <c r="D886" s="29"/>
    </row>
    <row r="887" ht="15.75" customHeight="1">
      <c r="B887" s="29"/>
      <c r="D887" s="29"/>
    </row>
    <row r="888" ht="15.75" customHeight="1">
      <c r="B888" s="29"/>
      <c r="D888" s="29"/>
    </row>
    <row r="889" ht="15.75" customHeight="1">
      <c r="B889" s="29"/>
      <c r="D889" s="29"/>
    </row>
    <row r="890" ht="15.75" customHeight="1">
      <c r="B890" s="29"/>
      <c r="D890" s="29"/>
    </row>
    <row r="891" ht="15.75" customHeight="1">
      <c r="B891" s="29"/>
      <c r="D891" s="29"/>
    </row>
    <row r="892" ht="15.75" customHeight="1">
      <c r="B892" s="29"/>
      <c r="D892" s="29"/>
    </row>
    <row r="893" ht="15.75" customHeight="1">
      <c r="B893" s="29"/>
      <c r="D893" s="29"/>
    </row>
    <row r="894" ht="15.75" customHeight="1">
      <c r="B894" s="29"/>
      <c r="D894" s="29"/>
    </row>
    <row r="895" ht="15.75" customHeight="1">
      <c r="B895" s="29"/>
      <c r="D895" s="29"/>
    </row>
    <row r="896" ht="15.75" customHeight="1">
      <c r="B896" s="29"/>
      <c r="D896" s="29"/>
    </row>
    <row r="897" ht="15.75" customHeight="1">
      <c r="B897" s="29"/>
      <c r="D897" s="29"/>
    </row>
    <row r="898" ht="15.75" customHeight="1">
      <c r="B898" s="29"/>
      <c r="D898" s="29"/>
    </row>
    <row r="899" ht="15.75" customHeight="1">
      <c r="B899" s="29"/>
      <c r="D899" s="29"/>
    </row>
    <row r="900" ht="15.75" customHeight="1">
      <c r="B900" s="29"/>
      <c r="D900" s="29"/>
    </row>
    <row r="901" ht="15.75" customHeight="1">
      <c r="B901" s="29"/>
      <c r="D901" s="29"/>
    </row>
    <row r="902" ht="15.75" customHeight="1">
      <c r="B902" s="29"/>
      <c r="D902" s="29"/>
    </row>
    <row r="903" ht="15.75" customHeight="1">
      <c r="B903" s="29"/>
      <c r="D903" s="29"/>
    </row>
    <row r="904" ht="15.75" customHeight="1">
      <c r="B904" s="29"/>
      <c r="D904" s="29"/>
    </row>
    <row r="905" ht="15.75" customHeight="1">
      <c r="B905" s="29"/>
      <c r="D905" s="29"/>
    </row>
    <row r="906" ht="15.75" customHeight="1">
      <c r="B906" s="29"/>
      <c r="D906" s="29"/>
    </row>
    <row r="907" ht="15.75" customHeight="1">
      <c r="B907" s="29"/>
      <c r="D907" s="29"/>
    </row>
    <row r="908" ht="15.75" customHeight="1">
      <c r="B908" s="29"/>
      <c r="D908" s="29"/>
    </row>
    <row r="909" ht="15.75" customHeight="1">
      <c r="B909" s="29"/>
      <c r="D909" s="29"/>
    </row>
    <row r="910" ht="15.75" customHeight="1">
      <c r="B910" s="29"/>
      <c r="D910" s="29"/>
    </row>
    <row r="911" ht="15.75" customHeight="1">
      <c r="B911" s="29"/>
      <c r="D911" s="29"/>
    </row>
    <row r="912" ht="15.75" customHeight="1">
      <c r="B912" s="29"/>
      <c r="D912" s="29"/>
    </row>
    <row r="913" ht="15.75" customHeight="1">
      <c r="B913" s="29"/>
      <c r="D913" s="29"/>
    </row>
    <row r="914" ht="15.75" customHeight="1">
      <c r="B914" s="29"/>
      <c r="D914" s="29"/>
    </row>
    <row r="915" ht="15.75" customHeight="1">
      <c r="B915" s="29"/>
      <c r="D915" s="29"/>
    </row>
    <row r="916" ht="15.75" customHeight="1">
      <c r="B916" s="29"/>
      <c r="D916" s="29"/>
    </row>
    <row r="917" ht="15.75" customHeight="1">
      <c r="B917" s="29"/>
      <c r="D917" s="29"/>
    </row>
    <row r="918" ht="15.75" customHeight="1">
      <c r="B918" s="29"/>
      <c r="D918" s="29"/>
    </row>
    <row r="919" ht="15.75" customHeight="1">
      <c r="B919" s="29"/>
      <c r="D919" s="29"/>
    </row>
    <row r="920" ht="15.75" customHeight="1">
      <c r="B920" s="29"/>
      <c r="D920" s="29"/>
    </row>
    <row r="921" ht="15.75" customHeight="1">
      <c r="B921" s="29"/>
      <c r="D921" s="29"/>
    </row>
    <row r="922" ht="15.75" customHeight="1">
      <c r="B922" s="29"/>
      <c r="D922" s="29"/>
    </row>
    <row r="923" ht="15.75" customHeight="1">
      <c r="B923" s="29"/>
      <c r="D923" s="29"/>
    </row>
    <row r="924" ht="15.75" customHeight="1">
      <c r="B924" s="29"/>
      <c r="D924" s="29"/>
    </row>
    <row r="925" ht="15.75" customHeight="1">
      <c r="B925" s="29"/>
      <c r="D925" s="29"/>
    </row>
    <row r="926" ht="15.75" customHeight="1">
      <c r="B926" s="29"/>
      <c r="D926" s="29"/>
    </row>
    <row r="927" ht="15.75" customHeight="1">
      <c r="B927" s="29"/>
      <c r="D927" s="29"/>
    </row>
    <row r="928" ht="15.75" customHeight="1">
      <c r="B928" s="29"/>
      <c r="D928" s="29"/>
    </row>
    <row r="929" ht="15.75" customHeight="1">
      <c r="B929" s="29"/>
      <c r="D929" s="29"/>
    </row>
    <row r="930" ht="15.75" customHeight="1">
      <c r="B930" s="29"/>
      <c r="D930" s="29"/>
    </row>
    <row r="931" ht="15.75" customHeight="1">
      <c r="B931" s="29"/>
      <c r="D931" s="29"/>
    </row>
    <row r="932" ht="15.75" customHeight="1">
      <c r="B932" s="29"/>
      <c r="D932" s="29"/>
    </row>
    <row r="933" ht="15.75" customHeight="1">
      <c r="B933" s="29"/>
      <c r="D933" s="29"/>
    </row>
    <row r="934" ht="15.75" customHeight="1">
      <c r="B934" s="29"/>
      <c r="D934" s="29"/>
    </row>
    <row r="935" ht="15.75" customHeight="1">
      <c r="B935" s="29"/>
      <c r="D935" s="29"/>
    </row>
    <row r="936" ht="15.75" customHeight="1">
      <c r="B936" s="29"/>
      <c r="D936" s="29"/>
    </row>
    <row r="937" ht="15.75" customHeight="1">
      <c r="B937" s="29"/>
      <c r="D937" s="29"/>
    </row>
    <row r="938" ht="15.75" customHeight="1">
      <c r="B938" s="29"/>
      <c r="D938" s="29"/>
    </row>
    <row r="939" ht="15.75" customHeight="1">
      <c r="B939" s="29"/>
      <c r="D939" s="29"/>
    </row>
    <row r="940" ht="15.75" customHeight="1">
      <c r="B940" s="29"/>
      <c r="D940" s="29"/>
    </row>
    <row r="941" ht="15.75" customHeight="1">
      <c r="B941" s="29"/>
      <c r="D941" s="29"/>
    </row>
    <row r="942" ht="15.75" customHeight="1">
      <c r="B942" s="29"/>
      <c r="D942" s="29"/>
    </row>
    <row r="943" ht="15.75" customHeight="1">
      <c r="B943" s="29"/>
      <c r="D943" s="29"/>
    </row>
    <row r="944" ht="15.75" customHeight="1">
      <c r="B944" s="29"/>
      <c r="D944" s="29"/>
    </row>
    <row r="945" ht="15.75" customHeight="1">
      <c r="B945" s="29"/>
      <c r="D945" s="29"/>
    </row>
    <row r="946" ht="15.75" customHeight="1">
      <c r="B946" s="29"/>
      <c r="D946" s="29"/>
    </row>
    <row r="947" ht="15.75" customHeight="1">
      <c r="B947" s="29"/>
      <c r="D947" s="29"/>
    </row>
    <row r="948" ht="15.75" customHeight="1">
      <c r="B948" s="29"/>
      <c r="D948" s="29"/>
    </row>
    <row r="949" ht="15.75" customHeight="1">
      <c r="B949" s="29"/>
      <c r="D949" s="29"/>
    </row>
    <row r="950" ht="15.75" customHeight="1">
      <c r="B950" s="29"/>
      <c r="D950" s="29"/>
    </row>
    <row r="951" ht="15.75" customHeight="1">
      <c r="B951" s="29"/>
      <c r="D951" s="29"/>
    </row>
    <row r="952" ht="15.75" customHeight="1">
      <c r="B952" s="29"/>
      <c r="D952" s="29"/>
    </row>
    <row r="953" ht="15.75" customHeight="1">
      <c r="B953" s="29"/>
      <c r="D953" s="29"/>
    </row>
    <row r="954" ht="15.75" customHeight="1">
      <c r="B954" s="29"/>
      <c r="D954" s="29"/>
    </row>
    <row r="955" ht="15.75" customHeight="1">
      <c r="B955" s="29"/>
      <c r="D955" s="29"/>
    </row>
    <row r="956" ht="15.75" customHeight="1">
      <c r="B956" s="29"/>
      <c r="D956" s="29"/>
    </row>
    <row r="957" ht="15.75" customHeight="1">
      <c r="B957" s="29"/>
      <c r="D957" s="29"/>
    </row>
    <row r="958" ht="15.75" customHeight="1">
      <c r="B958" s="29"/>
      <c r="D958" s="29"/>
    </row>
    <row r="959" ht="15.75" customHeight="1">
      <c r="B959" s="29"/>
      <c r="D959" s="29"/>
    </row>
    <row r="960" ht="15.75" customHeight="1">
      <c r="B960" s="29"/>
      <c r="D960" s="29"/>
    </row>
    <row r="961" ht="15.75" customHeight="1">
      <c r="B961" s="29"/>
      <c r="D961" s="29"/>
    </row>
    <row r="962" ht="15.75" customHeight="1">
      <c r="B962" s="29"/>
      <c r="D962" s="29"/>
    </row>
    <row r="963" ht="15.75" customHeight="1">
      <c r="B963" s="29"/>
      <c r="D963" s="29"/>
    </row>
    <row r="964" ht="15.75" customHeight="1">
      <c r="B964" s="29"/>
      <c r="D964" s="29"/>
    </row>
    <row r="965" ht="15.75" customHeight="1">
      <c r="B965" s="29"/>
      <c r="D965" s="29"/>
    </row>
    <row r="966" ht="15.75" customHeight="1">
      <c r="B966" s="29"/>
      <c r="D966" s="29"/>
    </row>
    <row r="967" ht="15.75" customHeight="1">
      <c r="B967" s="29"/>
      <c r="D967" s="29"/>
    </row>
    <row r="968" ht="15.75" customHeight="1">
      <c r="B968" s="29"/>
      <c r="D968" s="29"/>
    </row>
    <row r="969" ht="15.75" customHeight="1">
      <c r="B969" s="29"/>
      <c r="D969" s="29"/>
    </row>
    <row r="970" ht="15.75" customHeight="1">
      <c r="B970" s="29"/>
      <c r="D970" s="29"/>
    </row>
    <row r="971" ht="15.75" customHeight="1">
      <c r="B971" s="29"/>
      <c r="D971" s="29"/>
    </row>
    <row r="972" ht="15.75" customHeight="1">
      <c r="B972" s="29"/>
      <c r="D972" s="29"/>
    </row>
    <row r="973" ht="15.75" customHeight="1">
      <c r="B973" s="29"/>
      <c r="D973" s="29"/>
    </row>
    <row r="974" ht="15.75" customHeight="1">
      <c r="B974" s="29"/>
      <c r="D974" s="29"/>
    </row>
    <row r="975" ht="15.75" customHeight="1">
      <c r="B975" s="29"/>
      <c r="D975" s="29"/>
    </row>
    <row r="976" ht="15.75" customHeight="1">
      <c r="B976" s="29"/>
      <c r="D976" s="29"/>
    </row>
    <row r="977" ht="15.75" customHeight="1">
      <c r="B977" s="29"/>
      <c r="D977" s="29"/>
    </row>
    <row r="978" ht="15.75" customHeight="1">
      <c r="B978" s="29"/>
      <c r="D978" s="29"/>
    </row>
    <row r="979" ht="15.75" customHeight="1">
      <c r="B979" s="29"/>
      <c r="D979" s="29"/>
    </row>
    <row r="980" ht="15.75" customHeight="1">
      <c r="B980" s="29"/>
      <c r="D980" s="29"/>
    </row>
    <row r="981" ht="15.75" customHeight="1">
      <c r="B981" s="29"/>
      <c r="D981" s="29"/>
    </row>
    <row r="982" ht="15.75" customHeight="1">
      <c r="B982" s="29"/>
      <c r="D982" s="29"/>
    </row>
    <row r="983" ht="15.75" customHeight="1">
      <c r="B983" s="29"/>
      <c r="D983" s="29"/>
    </row>
    <row r="984" ht="15.75" customHeight="1">
      <c r="B984" s="29"/>
      <c r="D984" s="29"/>
    </row>
    <row r="985" ht="15.75" customHeight="1">
      <c r="B985" s="29"/>
      <c r="D985" s="29"/>
    </row>
    <row r="986" ht="15.75" customHeight="1">
      <c r="B986" s="29"/>
      <c r="D986" s="29"/>
    </row>
    <row r="987" ht="15.75" customHeight="1">
      <c r="B987" s="29"/>
      <c r="D987" s="29"/>
    </row>
    <row r="988" ht="15.75" customHeight="1">
      <c r="B988" s="29"/>
      <c r="D988" s="29"/>
    </row>
    <row r="989" ht="15.75" customHeight="1">
      <c r="B989" s="29"/>
      <c r="D989" s="29"/>
    </row>
    <row r="990" ht="15.75" customHeight="1">
      <c r="B990" s="29"/>
      <c r="D990" s="29"/>
    </row>
    <row r="991" ht="15.75" customHeight="1">
      <c r="B991" s="29"/>
      <c r="D991" s="29"/>
    </row>
    <row r="992" ht="15.75" customHeight="1">
      <c r="B992" s="29"/>
      <c r="D992" s="29"/>
    </row>
    <row r="993" ht="15.75" customHeight="1">
      <c r="B993" s="29"/>
      <c r="D993" s="29"/>
    </row>
    <row r="994" ht="15.75" customHeight="1">
      <c r="B994" s="29"/>
      <c r="D994" s="29"/>
    </row>
    <row r="995" ht="15.75" customHeight="1">
      <c r="B995" s="29"/>
      <c r="D995" s="29"/>
    </row>
    <row r="996" ht="15.75" customHeight="1">
      <c r="B996" s="29"/>
      <c r="D996" s="29"/>
    </row>
    <row r="997" ht="15.75" customHeight="1">
      <c r="B997" s="29"/>
      <c r="D997" s="29"/>
    </row>
    <row r="998" ht="15.75" customHeight="1">
      <c r="B998" s="29"/>
      <c r="D998" s="29"/>
    </row>
    <row r="999" ht="15.75" customHeight="1">
      <c r="B999" s="29"/>
      <c r="D999" s="29"/>
    </row>
    <row r="1000" ht="15.75" customHeight="1">
      <c r="B1000" s="29"/>
      <c r="D1000" s="29"/>
    </row>
    <row r="1001" ht="15.75" customHeight="1">
      <c r="B1001" s="29"/>
      <c r="D1001" s="29"/>
    </row>
    <row r="1002" ht="15.75" customHeight="1">
      <c r="B1002" s="29"/>
      <c r="D1002" s="29"/>
    </row>
    <row r="1003" ht="15.75" customHeight="1">
      <c r="B1003" s="29"/>
      <c r="D1003" s="29"/>
    </row>
    <row r="1004" ht="15.75" customHeight="1">
      <c r="B1004" s="29"/>
      <c r="D1004" s="29"/>
    </row>
    <row r="1005" ht="15.75" customHeight="1">
      <c r="B1005" s="29"/>
      <c r="D1005" s="29"/>
    </row>
    <row r="1006" ht="15.75" customHeight="1">
      <c r="B1006" s="29"/>
      <c r="D1006" s="29"/>
    </row>
    <row r="1007" ht="15.75" customHeight="1">
      <c r="B1007" s="29"/>
      <c r="D1007" s="29"/>
    </row>
    <row r="1008" ht="15.75" customHeight="1">
      <c r="B1008" s="29"/>
      <c r="D1008" s="29"/>
    </row>
    <row r="1009" ht="15.75" customHeight="1">
      <c r="B1009" s="29"/>
      <c r="D1009" s="29"/>
    </row>
    <row r="1010" ht="15.75" customHeight="1">
      <c r="B1010" s="29"/>
      <c r="D1010" s="29"/>
    </row>
    <row r="1011" ht="15.75" customHeight="1">
      <c r="B1011" s="29"/>
      <c r="D1011" s="29"/>
    </row>
    <row r="1012" ht="15.75" customHeight="1">
      <c r="B1012" s="29"/>
      <c r="D1012" s="29"/>
    </row>
    <row r="1013" ht="15.75" customHeight="1">
      <c r="B1013" s="29"/>
      <c r="D1013" s="29"/>
    </row>
    <row r="1014" ht="15.75" customHeight="1">
      <c r="B1014" s="29"/>
      <c r="D1014" s="29"/>
    </row>
    <row r="1015" ht="15.75" customHeight="1">
      <c r="B1015" s="29"/>
      <c r="D1015" s="29"/>
    </row>
    <row r="1016" ht="15.75" customHeight="1">
      <c r="B1016" s="29"/>
      <c r="D1016" s="29"/>
    </row>
    <row r="1017" ht="15.75" customHeight="1">
      <c r="B1017" s="29"/>
      <c r="D1017" s="29"/>
    </row>
    <row r="1018" ht="15.75" customHeight="1">
      <c r="B1018" s="29"/>
      <c r="D1018" s="29"/>
    </row>
    <row r="1019" ht="15.75" customHeight="1">
      <c r="B1019" s="29"/>
      <c r="D1019" s="29"/>
    </row>
    <row r="1020" ht="15.75" customHeight="1">
      <c r="B1020" s="29"/>
      <c r="D1020" s="29"/>
    </row>
    <row r="1021" ht="15.75" customHeight="1">
      <c r="B1021" s="29"/>
      <c r="D1021" s="29"/>
    </row>
    <row r="1022" ht="15.75" customHeight="1">
      <c r="B1022" s="29"/>
      <c r="D1022" s="29"/>
    </row>
    <row r="1023" ht="15.75" customHeight="1">
      <c r="B1023" s="29"/>
      <c r="D1023" s="29"/>
    </row>
    <row r="1024" ht="15.75" customHeight="1">
      <c r="B1024" s="29"/>
      <c r="D1024" s="29"/>
    </row>
    <row r="1025" ht="15.75" customHeight="1">
      <c r="B1025" s="29"/>
      <c r="D1025" s="29"/>
    </row>
    <row r="1026" ht="15.75" customHeight="1">
      <c r="B1026" s="29"/>
      <c r="D1026" s="29"/>
    </row>
    <row r="1027" ht="15.75" customHeight="1">
      <c r="B1027" s="29"/>
      <c r="D1027" s="29"/>
    </row>
    <row r="1028" ht="15.75" customHeight="1">
      <c r="B1028" s="29"/>
      <c r="D1028" s="29"/>
    </row>
    <row r="1029" ht="15.75" customHeight="1">
      <c r="B1029" s="29"/>
      <c r="D1029" s="29"/>
    </row>
    <row r="1030" ht="15.75" customHeight="1">
      <c r="B1030" s="29"/>
      <c r="D1030" s="29"/>
    </row>
    <row r="1031" ht="15.75" customHeight="1">
      <c r="B1031" s="29"/>
      <c r="D1031" s="29"/>
    </row>
    <row r="1032" ht="15.75" customHeight="1">
      <c r="B1032" s="29"/>
      <c r="D1032" s="29"/>
    </row>
    <row r="1033" ht="15.75" customHeight="1">
      <c r="B1033" s="29"/>
      <c r="D1033" s="29"/>
    </row>
    <row r="1034" ht="15.75" customHeight="1">
      <c r="B1034" s="29"/>
      <c r="D1034" s="29"/>
    </row>
    <row r="1035" ht="15.75" customHeight="1">
      <c r="B1035" s="29"/>
      <c r="D1035" s="29"/>
    </row>
    <row r="1036" ht="15.75" customHeight="1">
      <c r="B1036" s="29"/>
      <c r="D1036" s="29"/>
    </row>
    <row r="1037" ht="15.75" customHeight="1">
      <c r="B1037" s="29"/>
      <c r="D1037" s="29"/>
    </row>
    <row r="1038" ht="15.75" customHeight="1">
      <c r="B1038" s="29"/>
      <c r="D1038" s="29"/>
    </row>
    <row r="1039" ht="15.75" customHeight="1">
      <c r="B1039" s="29"/>
      <c r="D1039" s="29"/>
    </row>
    <row r="1040" ht="15.75" customHeight="1">
      <c r="B1040" s="29"/>
      <c r="D1040" s="29"/>
    </row>
    <row r="1041" ht="15.75" customHeight="1">
      <c r="B1041" s="29"/>
      <c r="D1041" s="29"/>
    </row>
    <row r="1042" ht="15.75" customHeight="1">
      <c r="B1042" s="29"/>
      <c r="D1042" s="29"/>
    </row>
    <row r="1043" ht="15.75" customHeight="1">
      <c r="B1043" s="29"/>
      <c r="D1043" s="29"/>
    </row>
    <row r="1044" ht="15.75" customHeight="1">
      <c r="B1044" s="29"/>
      <c r="D1044" s="29"/>
    </row>
    <row r="1045" ht="15.75" customHeight="1">
      <c r="B1045" s="29"/>
      <c r="D1045" s="29"/>
    </row>
    <row r="1046" ht="15.75" customHeight="1">
      <c r="B1046" s="29"/>
      <c r="D1046" s="29"/>
    </row>
    <row r="1047" ht="15.75" customHeight="1">
      <c r="B1047" s="29"/>
      <c r="D1047" s="29"/>
    </row>
    <row r="1048" ht="15.75" customHeight="1">
      <c r="B1048" s="29"/>
      <c r="D1048" s="29"/>
    </row>
    <row r="1049" ht="15.75" customHeight="1">
      <c r="B1049" s="29"/>
      <c r="D1049" s="29"/>
    </row>
    <row r="1050" ht="15.75" customHeight="1">
      <c r="B1050" s="29"/>
      <c r="D1050" s="29"/>
    </row>
    <row r="1051" ht="15.75" customHeight="1">
      <c r="B1051" s="29"/>
      <c r="D1051" s="29"/>
    </row>
    <row r="1052" ht="15.75" customHeight="1">
      <c r="B1052" s="29"/>
      <c r="D1052" s="29"/>
    </row>
    <row r="1053" ht="15.75" customHeight="1">
      <c r="B1053" s="29"/>
      <c r="D1053" s="29"/>
    </row>
    <row r="1054" ht="15.75" customHeight="1">
      <c r="B1054" s="29"/>
      <c r="D1054" s="29"/>
    </row>
    <row r="1055" ht="15.75" customHeight="1">
      <c r="B1055" s="29"/>
      <c r="D1055" s="29"/>
    </row>
    <row r="1056" ht="15.75" customHeight="1">
      <c r="B1056" s="29"/>
      <c r="D1056" s="29"/>
    </row>
    <row r="1057" ht="15.75" customHeight="1">
      <c r="B1057" s="29"/>
      <c r="D1057" s="29"/>
    </row>
    <row r="1058" ht="15.75" customHeight="1">
      <c r="B1058" s="29"/>
      <c r="D1058" s="29"/>
    </row>
    <row r="1059" ht="15.75" customHeight="1">
      <c r="B1059" s="29"/>
      <c r="D1059" s="29"/>
    </row>
    <row r="1060" ht="15.75" customHeight="1">
      <c r="B1060" s="29"/>
      <c r="D1060" s="29"/>
    </row>
    <row r="1061" ht="15.75" customHeight="1">
      <c r="B1061" s="29"/>
      <c r="D1061" s="29"/>
    </row>
  </sheetData>
  <conditionalFormatting sqref="E1:E1061 B6:D49 F69:I77 F92:I183">
    <cfRule type="expression" dxfId="0" priority="1">
      <formula>AND(ISFORMULA(E1), REGEXMATCH(FORMULATEXT(E1), "GlobalVariables!"))</formula>
    </cfRule>
  </conditionalFormatting>
  <conditionalFormatting sqref="E1:E1061 B6:D49 F69:I77 F92:I183">
    <cfRule type="expression" dxfId="1" priority="2">
      <formula>ISFORMULA(E1)</formula>
    </cfRule>
  </conditionalFormatting>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2025-09-03T19:11:32Z</dcterms:created>
  <dc:creator>openpyxl</dc:creator>
</cp:coreProperties>
</file>